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1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<sst xmlns="http://schemas.openxmlformats.org/spreadsheetml/2006/main" count="262" uniqueCount="178">
  <si>
    <t>2026年皮源总报表</t>
  </si>
  <si>
    <t>入库日期</t>
  </si>
  <si>
    <t>供应商</t>
  </si>
  <si>
    <t>合同号</t>
  </si>
  <si>
    <t>皮源</t>
  </si>
  <si>
    <t>名称</t>
  </si>
  <si>
    <t>净重（T）</t>
  </si>
  <si>
    <t>车号/柜号</t>
  </si>
  <si>
    <t>条数</t>
  </si>
  <si>
    <t>板数</t>
  </si>
  <si>
    <t>库存条数</t>
  </si>
  <si>
    <t>蓝皮成品</t>
  </si>
  <si>
    <t>进鼓条数</t>
  </si>
  <si>
    <t>报损数</t>
  </si>
  <si>
    <t>入库时间</t>
  </si>
  <si>
    <t>厚度</t>
  </si>
  <si>
    <t>尺码</t>
  </si>
  <si>
    <t>2026.01.07</t>
  </si>
  <si>
    <t>刘洋</t>
  </si>
  <si>
    <t>外购国产公牛+中小蓝皮</t>
  </si>
  <si>
    <t>外购美国轻磅奶牛蓝皮/LP260107LY507</t>
  </si>
  <si>
    <t>外购国产中小蓝皮/LP260107LY852</t>
  </si>
  <si>
    <t>外购国产公牛蓝皮/LP260107LY1001</t>
  </si>
  <si>
    <t>兴龙皮革</t>
  </si>
  <si>
    <t>外购国产蓝皮</t>
  </si>
  <si>
    <t>外购国产中小皮蓝皮/LP260107XL349</t>
  </si>
  <si>
    <t>2026.01.03</t>
  </si>
  <si>
    <t>何丹枫</t>
  </si>
  <si>
    <t>JX03/外购意大利蓝皮</t>
  </si>
  <si>
    <t>外购意大利蓝皮/LP260103YDL1047</t>
  </si>
  <si>
    <t>TLLU2324155</t>
  </si>
  <si>
    <t>2026.01.09</t>
  </si>
  <si>
    <t>信亿</t>
  </si>
  <si>
    <t>国产公牛蓝皮</t>
  </si>
  <si>
    <t>外购国产公牛蓝皮</t>
  </si>
  <si>
    <t>2026.01.16</t>
  </si>
  <si>
    <t>外购新西兰蓝皮</t>
  </si>
  <si>
    <t>外购新西兰蓝皮/LP260116XXL120</t>
  </si>
  <si>
    <t>2025.01.01</t>
  </si>
  <si>
    <t>宛学义</t>
  </si>
  <si>
    <t>新西兰蓝皮</t>
  </si>
  <si>
    <t>外购新西兰蓝皮/LP260101W9</t>
  </si>
  <si>
    <t>2025.01.19</t>
  </si>
  <si>
    <t>外购国产公牛蓝皮/LP260119W4</t>
  </si>
  <si>
    <t>2026.01.22</t>
  </si>
  <si>
    <t>A2543/外购西班牙阉牛蓝皮</t>
  </si>
  <si>
    <t>OA35-2/外购西班牙阉牛蓝皮/LP260122XBY1770</t>
  </si>
  <si>
    <t>KOCU4034900</t>
  </si>
  <si>
    <t>柯卓</t>
  </si>
  <si>
    <t>QGM3859/塔斯马尼亚毛皮</t>
  </si>
  <si>
    <t>塔斯马尼亚毛皮/MP260122TSMNY1000</t>
  </si>
  <si>
    <t>35KG+/40-42KG</t>
  </si>
  <si>
    <t>TEMU3309452</t>
  </si>
  <si>
    <t>FCIU3065514</t>
  </si>
  <si>
    <t>2026.01.23</t>
  </si>
  <si>
    <t>BS58/南非阉牛毛皮</t>
  </si>
  <si>
    <t>BYD/南非阉牛毛皮/MP260123BYD6796</t>
  </si>
  <si>
    <t>23KG+/27-32KG</t>
  </si>
  <si>
    <t>CSNU6084420</t>
  </si>
  <si>
    <t>FFAU6105552</t>
  </si>
  <si>
    <t>CBHU7011930</t>
  </si>
  <si>
    <t>OOCU9062684</t>
  </si>
  <si>
    <t>THBU4889740</t>
  </si>
  <si>
    <t>OOCU7828600</t>
  </si>
  <si>
    <t>OOCU9788110</t>
  </si>
  <si>
    <t>2026.01.27</t>
  </si>
  <si>
    <t>9427/25/VIPOSA/外购巴西蓝皮</t>
  </si>
  <si>
    <t>QX-v(VIPOSA)/LP260127HQX6231</t>
  </si>
  <si>
    <t>小计</t>
  </si>
  <si>
    <t>蓝皮</t>
  </si>
  <si>
    <t>毛皮</t>
  </si>
  <si>
    <t>合计</t>
  </si>
  <si>
    <t>进口蓝皮</t>
  </si>
  <si>
    <t>进口毛皮</t>
  </si>
  <si>
    <t>2026.02.05</t>
  </si>
  <si>
    <t>牛磊</t>
  </si>
  <si>
    <t>国产公牛蓝皮/LP260205N648</t>
  </si>
  <si>
    <t>国产公牛蓝皮/LP260205N95</t>
  </si>
  <si>
    <t>国产蓝皮</t>
  </si>
  <si>
    <t>国产毛皮</t>
  </si>
  <si>
    <t>国产公牛蓝皮/LP260205N623</t>
  </si>
  <si>
    <t>国产公牛蓝皮/LP260205N77</t>
  </si>
  <si>
    <t>2026.1-2</t>
  </si>
  <si>
    <t>项目</t>
  </si>
  <si>
    <t>数量</t>
  </si>
  <si>
    <t>比例</t>
  </si>
  <si>
    <t>2025.1-2</t>
  </si>
  <si>
    <t>2026.03.01</t>
  </si>
  <si>
    <t>48-2025/克罗地亚母牛毛皮</t>
  </si>
  <si>
    <t>MLP260301KLDY1800/克罗地亚母牛毛皮</t>
  </si>
  <si>
    <t>20-30KG\25-27KG</t>
  </si>
  <si>
    <t>TLLU2395420</t>
  </si>
  <si>
    <t>MRKU6612985</t>
  </si>
  <si>
    <t>李志刚</t>
  </si>
  <si>
    <t>105421/DURLI/外购巴西蓝皮</t>
  </si>
  <si>
    <t>QX-1(DURLI)蓝皮/LP260301LQX2669</t>
  </si>
  <si>
    <t>42-44SF/14-16KG</t>
  </si>
  <si>
    <t>TCLU2274170</t>
  </si>
  <si>
    <t>MRSU0033973</t>
  </si>
  <si>
    <t>2026.03.09</t>
  </si>
  <si>
    <t>王武献</t>
  </si>
  <si>
    <t>外购国产蓝皮/包袋/LP260309WWX1800</t>
  </si>
  <si>
    <t>2026.03.07</t>
  </si>
  <si>
    <t>外购国产蓝皮/沙发/LP260307WWX687</t>
  </si>
  <si>
    <t>外购国产蓝皮/包袋/LP260307WWX720</t>
  </si>
  <si>
    <t>雪克皮业</t>
  </si>
  <si>
    <t>外购乌兹别克蓝皮</t>
  </si>
  <si>
    <t>外购乌兹别克公牛蓝皮/沙发/LP260305XK973</t>
  </si>
  <si>
    <t>A</t>
  </si>
  <si>
    <t>外购乌兹别克母牛蓝皮/沙发/LP260305XK640A</t>
  </si>
  <si>
    <t>外购乌兹别克母牛蓝皮/包袋/LP260305XK640B</t>
  </si>
  <si>
    <t>B</t>
  </si>
  <si>
    <t>2026.03.18</t>
  </si>
  <si>
    <t>QGM3858/塔斯马尼亚毛皮</t>
  </si>
  <si>
    <t>塔斯马尼亚毛皮/MP260318TSMNY1520</t>
  </si>
  <si>
    <t>26-28KG+/23-30KG</t>
  </si>
  <si>
    <t>EITU0196094</t>
  </si>
  <si>
    <t>DRYU2991051</t>
  </si>
  <si>
    <t>2026.03.10</t>
  </si>
  <si>
    <t>李付生</t>
  </si>
  <si>
    <t>外购国产蓝皮/包袋/LP260310L2258</t>
  </si>
  <si>
    <t>2026.03.27</t>
  </si>
  <si>
    <t>外购国产蓝皮/沙发/LP260327WWX289</t>
  </si>
  <si>
    <t>外购国产蓝皮/包袋/LP260327WWX1373</t>
  </si>
  <si>
    <t>2026.03.24</t>
  </si>
  <si>
    <t>BS58B/南非阉牛毛皮</t>
  </si>
  <si>
    <t>BYD/南非阉牛毛皮/MP260324BYD1974</t>
  </si>
  <si>
    <t>23KG\27-32KG</t>
  </si>
  <si>
    <t>tcnu4132720</t>
  </si>
  <si>
    <t>csnu8273315</t>
  </si>
  <si>
    <t>2026.03.30</t>
  </si>
  <si>
    <t>占峰皮革</t>
  </si>
  <si>
    <t>俊安加工/外购JBS美国奶阉毛皮</t>
  </si>
  <si>
    <t>外购JBS美国奶阉毛皮/MP260330JBS3150</t>
  </si>
  <si>
    <t>28-30KG</t>
  </si>
  <si>
    <t>2026.03.31</t>
  </si>
  <si>
    <t>俊安加工/外购国产肥母牛毛皮</t>
  </si>
  <si>
    <t>外购国产肥母牛毛皮/MP260331W1260</t>
  </si>
  <si>
    <t>2026.04.01</t>
  </si>
  <si>
    <t>许鹏程</t>
  </si>
  <si>
    <t>36213/外购澳洲昆士兰毛皮</t>
  </si>
  <si>
    <t>外购澳洲昆士兰毛皮/MP260401KSL662</t>
  </si>
  <si>
    <t>24KG+/32-34KG</t>
  </si>
  <si>
    <t>CAIU6940160</t>
  </si>
  <si>
    <t>2026.04.02</t>
  </si>
  <si>
    <t>外购国产肥母牛毛皮</t>
  </si>
  <si>
    <t>外购国产肥母牛毛皮/MP260402W1050</t>
  </si>
  <si>
    <t>2026.04.08</t>
  </si>
  <si>
    <t>1034RH/南非阉牛毛皮</t>
  </si>
  <si>
    <t>BYD/南非阉牛毛皮/MP260408BYD1800</t>
  </si>
  <si>
    <t>30-34KG</t>
  </si>
  <si>
    <t>MSMU5523335</t>
  </si>
  <si>
    <t>MSDU5557200</t>
  </si>
  <si>
    <t>2026.04.09</t>
  </si>
  <si>
    <t>2.8-3.1厚A国产公牛蓝皮/LP260409N721</t>
  </si>
  <si>
    <t>3.8-4.1厚沙发A国产公牛蓝皮/LP260409N795</t>
  </si>
  <si>
    <t>沙发C国产公牛蓝皮/LP260409N100</t>
  </si>
  <si>
    <t>2026.04.10</t>
  </si>
  <si>
    <t>外购乌兹别克公牛蓝皮/沙发/LP260410XK1575</t>
  </si>
  <si>
    <t>外购乌兹别克公牛蓝皮/沙发/LP260410XK1235</t>
  </si>
  <si>
    <t>2026.04.16</t>
  </si>
  <si>
    <t>外购国产肥母牛毛皮/MP260416W1150</t>
  </si>
  <si>
    <t>2026.04.24</t>
  </si>
  <si>
    <t>外购国产公牛蓝皮/沙发/LP260424WWX1620</t>
  </si>
  <si>
    <t>外购国产水牛蓝皮/沙发/LP2604424WWX300</t>
  </si>
  <si>
    <t>2026.05.06</t>
  </si>
  <si>
    <t>外购波兰阉牛毛皮</t>
  </si>
  <si>
    <t>外购波兰阉牛毛皮/MP260506500</t>
  </si>
  <si>
    <t>41KG</t>
  </si>
  <si>
    <t>2026.05.02</t>
  </si>
  <si>
    <t>A2738/外购西班牙阉牛毛皮</t>
  </si>
  <si>
    <t>A2738/外购西班牙阉牛毛皮/MP260502OA4000</t>
  </si>
  <si>
    <t>26KG\25-30KG</t>
  </si>
  <si>
    <t>BSIU274600</t>
  </si>
  <si>
    <t>HDMU2801021</t>
  </si>
  <si>
    <t>HMMU2147705</t>
  </si>
  <si>
    <t>KOCU2199027</t>
  </si>
  <si>
    <t>TEMU1490150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</si>
</sst>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  <numFmt numFmtId="179" formatCode="0.0%"/>
  </numFmts>
  <fonts count="29">
    <font>
      <sz val="11"/>
      <color theme="1"/>
      <name val="宋体"/>
      <charset val="134"/>
      <scheme val="minor"/>
    </font>
    <font>
      <sz val="16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1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6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7" fillId="0" borderId="0">
      <alignment vertical="center"/>
    </xf>
    <xf numFmtId="0" fontId="18" fillId="4" borderId="18">
      <alignment vertical="center"/>
    </xf>
    <xf numFmtId="0" fontId="19" fillId="5" borderId="19">
      <alignment vertical="center"/>
    </xf>
    <xf numFmtId="0" fontId="20" fillId="5" borderId="18">
      <alignment vertical="center"/>
    </xf>
    <xf numFmtId="0" fontId="21" fillId="6" borderId="20">
      <alignment vertical="center"/>
    </xf>
    <xf numFmtId="0" fontId="22" fillId="0" borderId="21">
      <alignment vertical="center"/>
    </xf>
    <xf numFmtId="0" fontId="23" fillId="0" borderId="2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9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7" fontId="3" fillId="2" borderId="5" xfId="0" applyNumberFormat="1" applyFont="1" applyFill="1" applyBorder="1" applyAlignment="1">
      <alignment horizontal="center" vertical="center" wrapText="1"/>
    </xf>
    <xf numFmtId="177" fontId="6" fillId="2" borderId="5" xfId="0" applyNumberFormat="1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 wrapText="1"/>
    </xf>
    <xf numFmtId="58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58" fontId="3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176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7" fontId="3" fillId="0" borderId="9" xfId="0" applyNumberFormat="1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 wrapText="1"/>
    </xf>
    <xf numFmtId="176" fontId="6" fillId="0" borderId="10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7" fontId="3" fillId="2" borderId="9" xfId="0" applyNumberFormat="1" applyFont="1" applyFill="1" applyBorder="1" applyAlignment="1">
      <alignment horizontal="center" vertical="center" wrapText="1"/>
    </xf>
    <xf numFmtId="177" fontId="3" fillId="0" borderId="12" xfId="0" applyNumberFormat="1" applyFont="1" applyFill="1" applyBorder="1" applyAlignment="1">
      <alignment horizontal="center" vertical="center" wrapText="1"/>
    </xf>
    <xf numFmtId="177" fontId="3" fillId="2" borderId="12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179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 wrapText="1"/>
    </xf>
    <xf numFmtId="178" fontId="3" fillId="0" borderId="12" xfId="0" applyNumberFormat="1" applyFont="1" applyFill="1" applyBorder="1" applyAlignment="1">
      <alignment horizontal="center" vertical="center" wrapText="1"/>
    </xf>
    <xf numFmtId="178" fontId="3" fillId="2" borderId="12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425835790209361"/>
                  <c:y val="0.13250069402004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558752113854961"/>
                  <c:y val="-0.031565256836077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82709235792437"/>
                  <c:y val="0.21662792550998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2255076540943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rgbClr val="969696">
                          <a:alpha val="100000"/>
                        </a:srgb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'[1]2026'!$S$45:$V$45</c:f>
              <c:strCache>
                <c:ptCount val="4"/>
                <c:pt idx="0">
                  <c:v>进口蓝皮</c:v>
                </c:pt>
                <c:pt idx="1">
                  <c:v>国产蓝皮</c:v>
                </c:pt>
                <c:pt idx="2">
                  <c:v>进口毛皮</c:v>
                </c:pt>
                <c:pt idx="3">
                  <c:v>国产毛皮</c:v>
                </c:pt>
              </c:strCache>
            </c:strRef>
          </c:cat>
          <c:val>
            <c:numRef>
              <c:f>'[1]2026'!$S$46:$V$46</c:f>
              <c:numCache>
                <c:formatCode>General</c:formatCode>
                <c:ptCount val="4"/>
                <c:pt idx="0">
                  <c:v>9169</c:v>
                </c:pt>
                <c:pt idx="1">
                  <c:v>6546</c:v>
                </c:pt>
                <c:pt idx="2">
                  <c:v>7796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69f85b-21f9-4153-b101-e50973f4b5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425835790209361"/>
                  <c:y val="0.13250069402004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558752113854961"/>
                  <c:y val="-0.031565256836077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82709235792437"/>
                  <c:y val="0.21662792550998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2255076540943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rgbClr val="969696">
                          <a:alpha val="100000"/>
                        </a:srgb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'[1]2026'!$S$77:$V$77</c:f>
              <c:strCache>
                <c:ptCount val="4"/>
                <c:pt idx="0">
                  <c:v>进口蓝皮</c:v>
                </c:pt>
                <c:pt idx="1">
                  <c:v>国产蓝皮</c:v>
                </c:pt>
                <c:pt idx="2">
                  <c:v>进口毛皮</c:v>
                </c:pt>
                <c:pt idx="3">
                  <c:v>国产毛皮</c:v>
                </c:pt>
              </c:strCache>
            </c:strRef>
          </c:cat>
          <c:val>
            <c:numRef>
              <c:f>'[1]2026'!$S$78:$V$78</c:f>
              <c:numCache>
                <c:formatCode>General</c:formatCode>
                <c:ptCount val="4"/>
                <c:pt idx="0">
                  <c:v>4892</c:v>
                </c:pt>
                <c:pt idx="1">
                  <c:v>7127</c:v>
                </c:pt>
                <c:pt idx="2">
                  <c:v>8444</c:v>
                </c:pt>
                <c:pt idx="3">
                  <c:v>1260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4f85f3-bc98-4d94-82c7-36522c063b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425835790209361"/>
                  <c:y val="0.13250069402004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558752113854961"/>
                  <c:y val="-0.031565256836077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82709235792437"/>
                  <c:y val="0.21662792550998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2255076540943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rgbClr val="969696">
                          <a:alpha val="100000"/>
                        </a:srgb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'[1]2026'!$S$77:$V$77</c:f>
              <c:strCache>
                <c:ptCount val="4"/>
                <c:pt idx="0">
                  <c:v>进口蓝皮</c:v>
                </c:pt>
                <c:pt idx="1">
                  <c:v>国产蓝皮</c:v>
                </c:pt>
                <c:pt idx="2">
                  <c:v>进口毛皮</c:v>
                </c:pt>
                <c:pt idx="3">
                  <c:v>国产毛皮</c:v>
                </c:pt>
              </c:strCache>
            </c:strRef>
          </c:cat>
          <c:val>
            <c:numRef>
              <c:f>'[1]2026'!$S$98:$V$98</c:f>
              <c:numCache>
                <c:formatCode>General</c:formatCode>
                <c:ptCount val="4"/>
                <c:pt idx="0">
                  <c:v>2810</c:v>
                </c:pt>
                <c:pt idx="1">
                  <c:v>3536</c:v>
                </c:pt>
                <c:pt idx="2">
                  <c:v>2462</c:v>
                </c:pt>
                <c:pt idx="3">
                  <c:v>2200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9320ba-9d78-435a-a793-5abd0c5e37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523240</xdr:colOff>
      <xdr:row>36</xdr:row>
      <xdr:rowOff>81915</xdr:rowOff>
    </xdr:from>
    <xdr:to>
      <xdr:col>19</xdr:col>
      <xdr:colOff>711835</xdr:colOff>
      <xdr:row>43</xdr:row>
      <xdr:rowOff>120650</xdr:rowOff>
    </xdr:to>
    <xdr:graphicFrame>
      <xdr:nvGraphicFramePr>
        <xdr:cNvPr id="2" name="图表 2"/>
        <xdr:cNvGraphicFramePr/>
      </xdr:nvGraphicFramePr>
      <xdr:xfrm>
        <a:off x="15801340" y="5673090"/>
        <a:ext cx="2312670" cy="110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542925</xdr:colOff>
      <xdr:row>68</xdr:row>
      <xdr:rowOff>0</xdr:rowOff>
    </xdr:from>
    <xdr:to>
      <xdr:col>20</xdr:col>
      <xdr:colOff>17145</xdr:colOff>
      <xdr:row>75</xdr:row>
      <xdr:rowOff>38735</xdr:rowOff>
    </xdr:to>
    <xdr:graphicFrame>
      <xdr:nvGraphicFramePr>
        <xdr:cNvPr id="3" name="图表 2"/>
        <xdr:cNvGraphicFramePr/>
      </xdr:nvGraphicFramePr>
      <xdr:xfrm>
        <a:off x="15821025" y="10467975"/>
        <a:ext cx="2312670" cy="110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87</xdr:row>
      <xdr:rowOff>0</xdr:rowOff>
    </xdr:from>
    <xdr:to>
      <xdr:col>20</xdr:col>
      <xdr:colOff>26670</xdr:colOff>
      <xdr:row>94</xdr:row>
      <xdr:rowOff>38735</xdr:rowOff>
    </xdr:to>
    <xdr:graphicFrame>
      <xdr:nvGraphicFramePr>
        <xdr:cNvPr id="4" name="图表 2"/>
        <xdr:cNvGraphicFramePr/>
      </xdr:nvGraphicFramePr>
      <xdr:xfrm>
        <a:off x="15830550" y="13363575"/>
        <a:ext cx="2312670" cy="110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611;&#30382;&#30331;&#35760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总"/>
      <sheetName val="2026"/>
      <sheetName val="山东加工蓝皮变动表"/>
      <sheetName val="老厂库存蓝皮"/>
      <sheetName val="老厂库存明细"/>
      <sheetName val="峰安加工"/>
      <sheetName val="王守山"/>
      <sheetName val="徐团结"/>
      <sheetName val="Sheet2"/>
      <sheetName val="总计"/>
      <sheetName val="宛学义"/>
      <sheetName val="1月份"/>
      <sheetName val="2月份"/>
      <sheetName val="3月份"/>
      <sheetName val="5月份"/>
      <sheetName val="4月份"/>
      <sheetName val="6月份"/>
      <sheetName val="7月份"/>
      <sheetName val="8月份"/>
      <sheetName val="9月份"/>
      <sheetName val="10月份"/>
      <sheetName val="11月份"/>
      <sheetName val="12月份"/>
      <sheetName val="Sheet1"/>
      <sheetName val="Sheet3"/>
    </sheetNames>
    <sheetDataSet>
      <sheetData sheetId="0"/>
      <sheetData sheetId="1">
        <row r="45">
          <cell r="S45" t="str">
            <v>进口蓝皮</v>
          </cell>
          <cell r="T45" t="str">
            <v>国产蓝皮</v>
          </cell>
          <cell r="U45" t="str">
            <v>进口毛皮</v>
          </cell>
          <cell r="V45" t="str">
            <v>国产毛皮</v>
          </cell>
        </row>
        <row r="46">
          <cell r="S46">
            <v>9169</v>
          </cell>
          <cell r="T46">
            <v>6546</v>
          </cell>
          <cell r="U46">
            <v>7796</v>
          </cell>
          <cell r="V46">
            <v>0</v>
          </cell>
        </row>
        <row r="77">
          <cell r="S77" t="str">
            <v>进口蓝皮</v>
          </cell>
          <cell r="T77" t="str">
            <v>国产蓝皮</v>
          </cell>
          <cell r="U77" t="str">
            <v>进口毛皮</v>
          </cell>
          <cell r="V77" t="str">
            <v>国产毛皮</v>
          </cell>
        </row>
        <row r="78">
          <cell r="S78">
            <v>4892</v>
          </cell>
          <cell r="T78">
            <v>7127</v>
          </cell>
          <cell r="U78">
            <v>8444</v>
          </cell>
          <cell r="V78">
            <v>1260</v>
          </cell>
        </row>
        <row r="98">
          <cell r="S98">
            <v>2810</v>
          </cell>
          <cell r="T98">
            <v>3536</v>
          </cell>
          <cell r="U98">
            <v>2462</v>
          </cell>
          <cell r="V98">
            <v>2200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1"/>
  <sheetViews>
    <sheetView tabSelected="1" topLeftCell="A68" workbookViewId="0">
      <selection activeCell="Q11" sqref="Q11"/>
    </sheetView>
  </sheetViews>
  <sheetFormatPr defaultColWidth="9" defaultRowHeight="12" customHeight="1"/>
  <cols>
    <col min="1" max="1" width="11.5" style="2" customWidth="1"/>
    <col min="2" max="2" width="9" style="2"/>
    <col min="3" max="3" width="23.5" style="2" customWidth="1"/>
    <col min="4" max="4" width="39" style="2" customWidth="1"/>
    <col min="5" max="5" width="13.625" style="2" customWidth="1"/>
    <col min="6" max="6" width="10.375" style="2" customWidth="1"/>
    <col min="7" max="7" width="11.125" style="2" customWidth="1"/>
    <col min="8" max="15" width="9" style="2"/>
    <col min="16" max="16" width="10.375" style="2"/>
    <col min="17" max="17" width="7.25" style="2" customWidth="1"/>
    <col min="18" max="18" width="8" style="2" customWidth="1"/>
    <col min="19" max="19" width="12.625" style="2"/>
    <col min="20" max="20" width="9.375" style="2"/>
    <col min="21" max="21" width="9" style="2"/>
    <col min="22" max="22" width="12.625" style="2"/>
    <col min="23" max="16383" width="9" style="2"/>
  </cols>
  <sheetData>
    <row r="1" s="1" customFormat="1" ht="20.25" spans="1:16">
      <c r="A1" s="4" t="s">
        <v>0</v>
      </c>
      <c r="B1" s="4"/>
      <c r="C1" s="5"/>
      <c r="D1" s="4"/>
      <c r="E1" s="4"/>
      <c r="F1" s="6"/>
      <c r="G1" s="4"/>
      <c r="H1" s="4"/>
      <c r="I1" s="4"/>
      <c r="J1" s="4"/>
      <c r="K1" s="4"/>
      <c r="L1" s="4"/>
      <c r="M1" s="4"/>
      <c r="N1" s="4"/>
      <c r="O1" s="4"/>
      <c r="P1" s="6"/>
    </row>
    <row r="2" s="2" customFormat="1" customHeight="1" spans="1:1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7" t="s">
        <v>7</v>
      </c>
      <c r="H2" s="9" t="s">
        <v>8</v>
      </c>
      <c r="I2" s="10" t="s">
        <v>9</v>
      </c>
      <c r="J2" s="10" t="s">
        <v>10</v>
      </c>
      <c r="K2" s="9" t="s">
        <v>11</v>
      </c>
      <c r="L2" s="9"/>
      <c r="M2" s="9"/>
      <c r="N2" s="9"/>
      <c r="O2" s="9"/>
      <c r="P2" s="11"/>
    </row>
    <row r="3" s="2" customFormat="1" customHeight="1" spans="1:16">
      <c r="A3" s="12"/>
      <c r="B3" s="12"/>
      <c r="C3" s="12"/>
      <c r="D3" s="12"/>
      <c r="E3" s="12"/>
      <c r="F3" s="13"/>
      <c r="G3" s="12"/>
      <c r="H3" s="14"/>
      <c r="I3" s="15"/>
      <c r="J3" s="15"/>
      <c r="K3" s="15" t="s">
        <v>12</v>
      </c>
      <c r="L3" s="16" t="s">
        <v>13</v>
      </c>
      <c r="M3" s="14" t="s">
        <v>14</v>
      </c>
      <c r="N3" s="14" t="s">
        <v>15</v>
      </c>
      <c r="O3" s="14" t="s">
        <v>8</v>
      </c>
      <c r="P3" s="17" t="s">
        <v>16</v>
      </c>
    </row>
    <row r="4" s="3" customFormat="1" customHeight="1" spans="1:16">
      <c r="A4" s="18" t="s">
        <v>17</v>
      </c>
      <c r="B4" s="18" t="s">
        <v>18</v>
      </c>
      <c r="C4" s="19" t="s">
        <v>19</v>
      </c>
      <c r="D4" s="20" t="s">
        <v>20</v>
      </c>
      <c r="E4" s="18"/>
      <c r="F4" s="21"/>
      <c r="G4" s="21"/>
      <c r="H4" s="21">
        <v>507</v>
      </c>
      <c r="I4" s="21">
        <v>2</v>
      </c>
      <c r="J4" s="21"/>
      <c r="K4" s="21"/>
      <c r="L4" s="21"/>
      <c r="M4" s="21"/>
      <c r="N4" s="21"/>
      <c r="O4" s="21">
        <v>507</v>
      </c>
      <c r="P4" s="22">
        <v>20198.6</v>
      </c>
    </row>
    <row r="5" s="3" customFormat="1" customHeight="1" spans="1:16">
      <c r="A5" s="23"/>
      <c r="B5" s="23"/>
      <c r="C5" s="20"/>
      <c r="D5" s="20" t="s">
        <v>21</v>
      </c>
      <c r="E5" s="23"/>
      <c r="F5" s="24"/>
      <c r="G5" s="24"/>
      <c r="H5" s="24">
        <v>852</v>
      </c>
      <c r="I5" s="24">
        <v>3</v>
      </c>
      <c r="J5" s="24"/>
      <c r="K5" s="24"/>
      <c r="L5" s="24"/>
      <c r="M5" s="24"/>
      <c r="N5" s="24"/>
      <c r="O5" s="24">
        <v>852</v>
      </c>
      <c r="P5" s="25">
        <v>29683.2</v>
      </c>
    </row>
    <row r="6" s="3" customFormat="1" customHeight="1" spans="1:16">
      <c r="A6" s="23"/>
      <c r="B6" s="23"/>
      <c r="C6" s="20"/>
      <c r="D6" s="20" t="s">
        <v>22</v>
      </c>
      <c r="E6" s="23"/>
      <c r="F6" s="24"/>
      <c r="G6" s="24"/>
      <c r="H6" s="23">
        <v>1001</v>
      </c>
      <c r="I6" s="26">
        <v>7</v>
      </c>
      <c r="J6" s="24"/>
      <c r="K6" s="24"/>
      <c r="L6" s="24"/>
      <c r="M6" s="24"/>
      <c r="N6" s="24"/>
      <c r="O6" s="23">
        <v>1001</v>
      </c>
      <c r="P6" s="27">
        <v>58944.7</v>
      </c>
    </row>
    <row r="7" s="3" customFormat="1" customHeight="1" spans="1:16">
      <c r="A7" s="28"/>
      <c r="B7" s="28"/>
      <c r="C7" s="28"/>
      <c r="D7" s="28"/>
      <c r="E7" s="28"/>
      <c r="F7" s="29">
        <f>SUM(F6:F6)</f>
        <v>0</v>
      </c>
      <c r="G7" s="28"/>
      <c r="H7" s="30">
        <f>SUM(H4:H6)</f>
        <v>2360</v>
      </c>
      <c r="I7" s="30">
        <f>SUM(I4:I6)</f>
        <v>12</v>
      </c>
      <c r="J7" s="31">
        <f t="shared" ref="J7:L7" si="0">SUM(J6)</f>
        <v>0</v>
      </c>
      <c r="K7" s="31">
        <f t="shared" si="0"/>
        <v>0</v>
      </c>
      <c r="L7" s="31">
        <f t="shared" si="0"/>
        <v>0</v>
      </c>
      <c r="M7" s="31"/>
      <c r="N7" s="31"/>
      <c r="O7" s="30">
        <f>SUM(O4:O6)</f>
        <v>2360</v>
      </c>
      <c r="P7" s="32">
        <f>SUM(P4:P6)</f>
        <v>108826.5</v>
      </c>
    </row>
    <row r="8" s="3" customFormat="1" customHeight="1" spans="1:16">
      <c r="A8" s="33" t="s">
        <v>17</v>
      </c>
      <c r="B8" s="34" t="s">
        <v>23</v>
      </c>
      <c r="C8" s="35" t="s">
        <v>24</v>
      </c>
      <c r="D8" s="34" t="s">
        <v>25</v>
      </c>
      <c r="E8" s="34"/>
      <c r="F8" s="23"/>
      <c r="G8" s="23"/>
      <c r="H8" s="23">
        <v>60</v>
      </c>
      <c r="I8" s="23">
        <v>1</v>
      </c>
      <c r="J8" s="24"/>
      <c r="K8" s="24"/>
      <c r="L8" s="24"/>
      <c r="M8" s="24"/>
      <c r="N8" s="24"/>
      <c r="O8" s="23">
        <v>60</v>
      </c>
      <c r="P8" s="25">
        <v>2158.2</v>
      </c>
    </row>
    <row r="9" s="3" customFormat="1" customHeight="1" spans="1:16">
      <c r="A9" s="36"/>
      <c r="B9" s="37"/>
      <c r="C9" s="38"/>
      <c r="D9" s="37"/>
      <c r="E9" s="37"/>
      <c r="F9" s="23"/>
      <c r="G9" s="23"/>
      <c r="H9" s="23">
        <v>158</v>
      </c>
      <c r="I9" s="23">
        <v>1</v>
      </c>
      <c r="J9" s="24"/>
      <c r="K9" s="24"/>
      <c r="L9" s="24"/>
      <c r="M9" s="24"/>
      <c r="N9" s="24"/>
      <c r="O9" s="23">
        <v>158</v>
      </c>
      <c r="P9" s="25">
        <v>5681.5</v>
      </c>
    </row>
    <row r="10" s="3" customFormat="1" customHeight="1" spans="1:16">
      <c r="A10" s="36"/>
      <c r="B10" s="37"/>
      <c r="C10" s="38"/>
      <c r="D10" s="37"/>
      <c r="E10" s="37"/>
      <c r="F10" s="23"/>
      <c r="G10" s="23"/>
      <c r="H10" s="23">
        <v>123</v>
      </c>
      <c r="I10" s="23">
        <v>1</v>
      </c>
      <c r="J10" s="24"/>
      <c r="K10" s="24"/>
      <c r="L10" s="24"/>
      <c r="M10" s="24"/>
      <c r="N10" s="24"/>
      <c r="O10" s="23">
        <v>123</v>
      </c>
      <c r="P10" s="25">
        <v>4462.4</v>
      </c>
    </row>
    <row r="11" s="3" customFormat="1" customHeight="1" spans="1:16">
      <c r="A11" s="36"/>
      <c r="B11" s="37"/>
      <c r="C11" s="38"/>
      <c r="D11" s="37"/>
      <c r="E11" s="37"/>
      <c r="F11" s="23"/>
      <c r="G11" s="23"/>
      <c r="H11" s="23">
        <v>7</v>
      </c>
      <c r="I11" s="23">
        <v>1</v>
      </c>
      <c r="J11" s="24"/>
      <c r="K11" s="24"/>
      <c r="L11" s="24"/>
      <c r="M11" s="24"/>
      <c r="N11" s="24"/>
      <c r="O11" s="23">
        <v>7</v>
      </c>
      <c r="P11" s="25">
        <v>282.9</v>
      </c>
    </row>
    <row r="12" s="3" customFormat="1" customHeight="1" spans="1:16">
      <c r="A12" s="36"/>
      <c r="B12" s="37"/>
      <c r="C12" s="38"/>
      <c r="D12" s="37"/>
      <c r="E12" s="37"/>
      <c r="F12" s="23"/>
      <c r="G12" s="23"/>
      <c r="H12" s="23">
        <v>1</v>
      </c>
      <c r="I12" s="23">
        <v>1</v>
      </c>
      <c r="J12" s="24"/>
      <c r="K12" s="24"/>
      <c r="L12" s="24"/>
      <c r="M12" s="24"/>
      <c r="N12" s="24"/>
      <c r="O12" s="39">
        <v>1</v>
      </c>
      <c r="P12" s="25">
        <v>34.9</v>
      </c>
    </row>
    <row r="13" s="3" customFormat="1" customHeight="1" spans="1:16">
      <c r="A13" s="40"/>
      <c r="B13" s="41"/>
      <c r="C13" s="42"/>
      <c r="D13" s="41"/>
      <c r="E13" s="43"/>
      <c r="F13" s="43"/>
      <c r="G13" s="43"/>
      <c r="H13" s="43">
        <f>SUM(H8:H12)</f>
        <v>349</v>
      </c>
      <c r="I13" s="43">
        <f>SUM(I8:I12)</f>
        <v>5</v>
      </c>
      <c r="J13" s="43"/>
      <c r="K13" s="43"/>
      <c r="L13" s="43"/>
      <c r="M13" s="43"/>
      <c r="N13" s="43"/>
      <c r="O13" s="43">
        <f>SUM(O8:O12)</f>
        <v>349</v>
      </c>
      <c r="P13" s="43">
        <f>SUM(P8:P12)</f>
        <v>12619.9</v>
      </c>
    </row>
    <row r="14" s="3" customFormat="1" customHeight="1" spans="1:16">
      <c r="A14" s="34" t="s">
        <v>26</v>
      </c>
      <c r="B14" s="34" t="s">
        <v>27</v>
      </c>
      <c r="C14" s="35" t="s">
        <v>28</v>
      </c>
      <c r="D14" s="35" t="s">
        <v>29</v>
      </c>
      <c r="E14" s="23"/>
      <c r="F14" s="24">
        <v>17700</v>
      </c>
      <c r="G14" s="24" t="s">
        <v>30</v>
      </c>
      <c r="H14" s="23">
        <v>1048</v>
      </c>
      <c r="I14" s="24">
        <v>10</v>
      </c>
      <c r="J14" s="24"/>
      <c r="K14" s="24"/>
      <c r="L14" s="24"/>
      <c r="M14" s="24"/>
      <c r="N14" s="24"/>
      <c r="O14" s="23">
        <v>1048</v>
      </c>
      <c r="P14" s="27">
        <v>66790.5</v>
      </c>
    </row>
    <row r="15" s="3" customFormat="1" customHeight="1" spans="1:16">
      <c r="A15" s="28"/>
      <c r="B15" s="28"/>
      <c r="C15" s="28"/>
      <c r="D15" s="28"/>
      <c r="E15" s="28"/>
      <c r="F15" s="29">
        <f t="shared" ref="F15:F20" si="1">SUM(F14:F14)</f>
        <v>17700</v>
      </c>
      <c r="G15" s="28"/>
      <c r="H15" s="30">
        <f>SUM(H14:H14)</f>
        <v>1048</v>
      </c>
      <c r="I15" s="30">
        <f>SUM(I14)</f>
        <v>10</v>
      </c>
      <c r="J15" s="31">
        <f>SUM(J14)</f>
        <v>0</v>
      </c>
      <c r="K15" s="31">
        <f>SUM(K14)</f>
        <v>0</v>
      </c>
      <c r="L15" s="31">
        <f>SUM(L14)</f>
        <v>0</v>
      </c>
      <c r="M15" s="31"/>
      <c r="N15" s="31"/>
      <c r="O15" s="31">
        <f>SUM(O14:O14)</f>
        <v>1048</v>
      </c>
      <c r="P15" s="32">
        <f>SUM(P14:P14)</f>
        <v>66790.5</v>
      </c>
    </row>
    <row r="16" s="3" customFormat="1" customHeight="1" spans="1:16">
      <c r="A16" s="34" t="s">
        <v>31</v>
      </c>
      <c r="B16" s="34" t="s">
        <v>32</v>
      </c>
      <c r="C16" s="35" t="s">
        <v>33</v>
      </c>
      <c r="D16" s="35" t="s">
        <v>34</v>
      </c>
      <c r="E16" s="23"/>
      <c r="F16" s="24"/>
      <c r="G16" s="24"/>
      <c r="H16" s="23">
        <v>231</v>
      </c>
      <c r="I16" s="24">
        <v>2</v>
      </c>
      <c r="J16" s="24"/>
      <c r="K16" s="24"/>
      <c r="L16" s="24"/>
      <c r="M16" s="24"/>
      <c r="N16" s="24"/>
      <c r="O16" s="23">
        <v>231</v>
      </c>
      <c r="P16" s="27">
        <v>14595.5</v>
      </c>
    </row>
    <row r="17" s="3" customFormat="1" customHeight="1" spans="1:16">
      <c r="A17" s="28"/>
      <c r="B17" s="28"/>
      <c r="C17" s="28"/>
      <c r="D17" s="28"/>
      <c r="E17" s="28"/>
      <c r="F17" s="29">
        <f t="shared" si="1"/>
        <v>0</v>
      </c>
      <c r="G17" s="28"/>
      <c r="H17" s="30">
        <f>SUM(H16:H16)</f>
        <v>231</v>
      </c>
      <c r="I17" s="30">
        <f>SUM(I16)</f>
        <v>2</v>
      </c>
      <c r="J17" s="31">
        <f>SUM(J16)</f>
        <v>0</v>
      </c>
      <c r="K17" s="31">
        <f>SUM(K16)</f>
        <v>0</v>
      </c>
      <c r="L17" s="31">
        <f>SUM(L16)</f>
        <v>0</v>
      </c>
      <c r="M17" s="31"/>
      <c r="N17" s="31"/>
      <c r="O17" s="31">
        <f>SUM(O16:O16)</f>
        <v>231</v>
      </c>
      <c r="P17" s="32">
        <f>SUM(P16:P16)</f>
        <v>14595.5</v>
      </c>
    </row>
    <row r="18" s="3" customFormat="1" customHeight="1" spans="1:16">
      <c r="A18" s="34" t="s">
        <v>31</v>
      </c>
      <c r="B18" s="34" t="s">
        <v>32</v>
      </c>
      <c r="C18" s="35" t="s">
        <v>33</v>
      </c>
      <c r="D18" s="35" t="s">
        <v>34</v>
      </c>
      <c r="E18" s="34"/>
      <c r="F18" s="44"/>
      <c r="G18" s="45"/>
      <c r="H18" s="46">
        <v>1790</v>
      </c>
      <c r="I18" s="46">
        <v>10</v>
      </c>
      <c r="J18" s="47"/>
      <c r="K18" s="47"/>
      <c r="L18" s="47"/>
      <c r="M18" s="47"/>
      <c r="N18" s="47"/>
      <c r="O18" s="47">
        <v>1790</v>
      </c>
      <c r="P18" s="48">
        <v>110152.6</v>
      </c>
    </row>
    <row r="19" s="3" customFormat="1" customHeight="1" spans="1:16">
      <c r="A19" s="37"/>
      <c r="B19" s="37"/>
      <c r="C19" s="38"/>
      <c r="D19" s="38"/>
      <c r="E19" s="49"/>
      <c r="F19" s="24"/>
      <c r="G19" s="24"/>
      <c r="H19" s="23">
        <v>360</v>
      </c>
      <c r="I19" s="24">
        <v>2</v>
      </c>
      <c r="J19" s="24"/>
      <c r="K19" s="24"/>
      <c r="L19" s="24"/>
      <c r="M19" s="24"/>
      <c r="N19" s="24"/>
      <c r="O19" s="23">
        <v>360</v>
      </c>
      <c r="P19" s="27">
        <v>21907.7</v>
      </c>
    </row>
    <row r="20" s="3" customFormat="1" customHeight="1" spans="1:16">
      <c r="A20" s="28"/>
      <c r="B20" s="28"/>
      <c r="C20" s="28"/>
      <c r="D20" s="28"/>
      <c r="E20" s="28"/>
      <c r="F20" s="29">
        <f t="shared" si="1"/>
        <v>0</v>
      </c>
      <c r="G20" s="28"/>
      <c r="H20" s="30">
        <f>SUM(H18:H19)</f>
        <v>2150</v>
      </c>
      <c r="I20" s="30">
        <f>SUM(I19)</f>
        <v>2</v>
      </c>
      <c r="J20" s="31">
        <f>SUM(J19)</f>
        <v>0</v>
      </c>
      <c r="K20" s="31">
        <f>SUM(K19)</f>
        <v>0</v>
      </c>
      <c r="L20" s="31">
        <f>SUM(L19)</f>
        <v>0</v>
      </c>
      <c r="M20" s="31"/>
      <c r="N20" s="31"/>
      <c r="O20" s="31">
        <f>SUM(O18:O19)</f>
        <v>2150</v>
      </c>
      <c r="P20" s="31">
        <f>SUM(P18:P19)</f>
        <v>132060.3</v>
      </c>
    </row>
    <row r="21" s="3" customFormat="1" customHeight="1" spans="1:16">
      <c r="A21" s="34" t="s">
        <v>35</v>
      </c>
      <c r="B21" s="34" t="s">
        <v>27</v>
      </c>
      <c r="C21" s="35" t="s">
        <v>36</v>
      </c>
      <c r="D21" s="35" t="s">
        <v>37</v>
      </c>
      <c r="E21" s="23"/>
      <c r="F21" s="24"/>
      <c r="G21" s="24"/>
      <c r="H21" s="23">
        <v>120</v>
      </c>
      <c r="I21" s="24">
        <v>2</v>
      </c>
      <c r="J21" s="24"/>
      <c r="K21" s="24"/>
      <c r="L21" s="24"/>
      <c r="M21" s="24"/>
      <c r="N21" s="24"/>
      <c r="O21" s="23">
        <v>120</v>
      </c>
      <c r="P21" s="27"/>
    </row>
    <row r="22" s="3" customFormat="1" customHeight="1" spans="1:16">
      <c r="A22" s="28"/>
      <c r="B22" s="28"/>
      <c r="C22" s="28"/>
      <c r="D22" s="28"/>
      <c r="E22" s="28"/>
      <c r="F22" s="29">
        <f t="shared" ref="F22:F26" si="2">SUM(F21:F21)</f>
        <v>0</v>
      </c>
      <c r="G22" s="28"/>
      <c r="H22" s="30">
        <f t="shared" ref="H22:H26" si="3">SUM(H21:H21)</f>
        <v>120</v>
      </c>
      <c r="I22" s="30">
        <f>SUM(I21)</f>
        <v>2</v>
      </c>
      <c r="J22" s="31">
        <f>SUM(J21)</f>
        <v>0</v>
      </c>
      <c r="K22" s="31">
        <f>SUM(K21)</f>
        <v>0</v>
      </c>
      <c r="L22" s="31">
        <f>SUM(L21)</f>
        <v>0</v>
      </c>
      <c r="M22" s="31"/>
      <c r="N22" s="31"/>
      <c r="O22" s="31">
        <f t="shared" ref="O22:O26" si="4">SUM(O21:O21)</f>
        <v>120</v>
      </c>
      <c r="P22" s="32">
        <f t="shared" ref="P22:P26" si="5">SUM(P21:P21)</f>
        <v>0</v>
      </c>
    </row>
    <row r="23" s="3" customFormat="1" customHeight="1" spans="1:16">
      <c r="A23" s="34" t="s">
        <v>38</v>
      </c>
      <c r="B23" s="34" t="s">
        <v>39</v>
      </c>
      <c r="C23" s="35" t="s">
        <v>40</v>
      </c>
      <c r="D23" s="23" t="s">
        <v>41</v>
      </c>
      <c r="E23" s="23"/>
      <c r="F23" s="24"/>
      <c r="G23" s="24"/>
      <c r="H23" s="23">
        <v>9</v>
      </c>
      <c r="I23" s="24"/>
      <c r="J23" s="24"/>
      <c r="K23" s="24"/>
      <c r="L23" s="24"/>
      <c r="M23" s="24"/>
      <c r="N23" s="24"/>
      <c r="O23" s="23">
        <v>9</v>
      </c>
      <c r="P23" s="27">
        <v>321.9</v>
      </c>
    </row>
    <row r="24" s="3" customFormat="1" customHeight="1" spans="1:16">
      <c r="A24" s="28"/>
      <c r="B24" s="28"/>
      <c r="C24" s="28"/>
      <c r="D24" s="28"/>
      <c r="E24" s="28"/>
      <c r="F24" s="29">
        <f t="shared" si="2"/>
        <v>0</v>
      </c>
      <c r="G24" s="28"/>
      <c r="H24" s="30">
        <f t="shared" si="3"/>
        <v>9</v>
      </c>
      <c r="I24" s="30">
        <f>SUM(I23)</f>
        <v>0</v>
      </c>
      <c r="J24" s="31">
        <f>SUM(J23)</f>
        <v>0</v>
      </c>
      <c r="K24" s="31">
        <f>SUM(K23)</f>
        <v>0</v>
      </c>
      <c r="L24" s="31">
        <f>SUM(L23)</f>
        <v>0</v>
      </c>
      <c r="M24" s="31"/>
      <c r="N24" s="31"/>
      <c r="O24" s="31">
        <f t="shared" si="4"/>
        <v>9</v>
      </c>
      <c r="P24" s="32">
        <f t="shared" si="5"/>
        <v>321.9</v>
      </c>
    </row>
    <row r="25" s="3" customFormat="1" customHeight="1" spans="1:16">
      <c r="A25" s="34" t="s">
        <v>42</v>
      </c>
      <c r="B25" s="34" t="s">
        <v>39</v>
      </c>
      <c r="C25" s="35" t="s">
        <v>33</v>
      </c>
      <c r="D25" s="23" t="s">
        <v>43</v>
      </c>
      <c r="E25" s="23"/>
      <c r="F25" s="24"/>
      <c r="G25" s="24"/>
      <c r="H25" s="23">
        <v>4</v>
      </c>
      <c r="I25" s="24"/>
      <c r="J25" s="24"/>
      <c r="K25" s="24"/>
      <c r="L25" s="24"/>
      <c r="M25" s="24"/>
      <c r="N25" s="24"/>
      <c r="O25" s="23">
        <v>4</v>
      </c>
      <c r="P25" s="27"/>
    </row>
    <row r="26" s="3" customFormat="1" customHeight="1" spans="1:16">
      <c r="A26" s="28"/>
      <c r="B26" s="28"/>
      <c r="C26" s="28"/>
      <c r="D26" s="28"/>
      <c r="E26" s="28"/>
      <c r="F26" s="29">
        <f t="shared" si="2"/>
        <v>0</v>
      </c>
      <c r="G26" s="28"/>
      <c r="H26" s="30">
        <f t="shared" si="3"/>
        <v>4</v>
      </c>
      <c r="I26" s="30">
        <f>SUM(I25)</f>
        <v>0</v>
      </c>
      <c r="J26" s="31">
        <f>SUM(J25)</f>
        <v>0</v>
      </c>
      <c r="K26" s="31">
        <f>SUM(K25)</f>
        <v>0</v>
      </c>
      <c r="L26" s="31">
        <f>SUM(L25)</f>
        <v>0</v>
      </c>
      <c r="M26" s="31"/>
      <c r="N26" s="31"/>
      <c r="O26" s="31">
        <f t="shared" si="4"/>
        <v>4</v>
      </c>
      <c r="P26" s="32">
        <f t="shared" si="5"/>
        <v>0</v>
      </c>
    </row>
    <row r="27" s="3" customFormat="1" customHeight="1" spans="1:16">
      <c r="A27" s="34" t="s">
        <v>44</v>
      </c>
      <c r="B27" s="34" t="s">
        <v>27</v>
      </c>
      <c r="C27" s="34" t="s">
        <v>45</v>
      </c>
      <c r="D27" s="34" t="s">
        <v>46</v>
      </c>
      <c r="E27" s="34"/>
      <c r="F27" s="44">
        <v>26163</v>
      </c>
      <c r="G27" s="45" t="s">
        <v>47</v>
      </c>
      <c r="H27" s="46">
        <v>1770</v>
      </c>
      <c r="I27" s="46">
        <v>10</v>
      </c>
      <c r="J27" s="47"/>
      <c r="K27" s="47"/>
      <c r="L27" s="47"/>
      <c r="M27" s="47"/>
      <c r="N27" s="47"/>
      <c r="O27" s="47">
        <v>1770</v>
      </c>
      <c r="P27" s="48">
        <v>72827.4</v>
      </c>
    </row>
    <row r="28" s="3" customFormat="1" customHeight="1" spans="1:16">
      <c r="A28" s="50"/>
      <c r="B28" s="50"/>
      <c r="C28" s="50"/>
      <c r="D28" s="50"/>
      <c r="E28" s="50"/>
      <c r="F28" s="51">
        <f t="shared" ref="F28:I28" si="6">SUM(F27:F27)</f>
        <v>26163</v>
      </c>
      <c r="G28" s="51"/>
      <c r="H28" s="51">
        <f t="shared" si="6"/>
        <v>1770</v>
      </c>
      <c r="I28" s="51">
        <f t="shared" si="6"/>
        <v>10</v>
      </c>
      <c r="J28" s="51"/>
      <c r="K28" s="51"/>
      <c r="L28" s="51"/>
      <c r="M28" s="51"/>
      <c r="N28" s="51"/>
      <c r="O28" s="51">
        <f>SUM(O27:O27)</f>
        <v>1770</v>
      </c>
      <c r="P28" s="51">
        <f>SUM(P27:P27)</f>
        <v>72827.4</v>
      </c>
    </row>
    <row r="29" s="3" customFormat="1" customHeight="1" spans="1:16">
      <c r="A29" s="34" t="s">
        <v>44</v>
      </c>
      <c r="B29" s="34" t="s">
        <v>48</v>
      </c>
      <c r="C29" s="34" t="s">
        <v>49</v>
      </c>
      <c r="D29" s="34" t="s">
        <v>50</v>
      </c>
      <c r="E29" s="34" t="s">
        <v>51</v>
      </c>
      <c r="F29" s="46">
        <v>20553</v>
      </c>
      <c r="G29" s="46" t="s">
        <v>52</v>
      </c>
      <c r="H29" s="46">
        <v>500</v>
      </c>
      <c r="I29" s="46">
        <v>20</v>
      </c>
      <c r="J29" s="46"/>
      <c r="K29" s="46"/>
      <c r="L29" s="46"/>
      <c r="M29" s="46"/>
      <c r="N29" s="46"/>
      <c r="O29" s="46">
        <v>500</v>
      </c>
      <c r="P29" s="52"/>
    </row>
    <row r="30" s="3" customFormat="1" customHeight="1" spans="1:16">
      <c r="A30" s="37"/>
      <c r="B30" s="37"/>
      <c r="C30" s="37"/>
      <c r="D30" s="37"/>
      <c r="E30" s="37"/>
      <c r="F30" s="46">
        <v>20181</v>
      </c>
      <c r="G30" s="46" t="s">
        <v>53</v>
      </c>
      <c r="H30" s="46">
        <v>500</v>
      </c>
      <c r="I30" s="46">
        <v>20</v>
      </c>
      <c r="J30" s="46"/>
      <c r="K30" s="46"/>
      <c r="L30" s="46"/>
      <c r="M30" s="46"/>
      <c r="N30" s="46"/>
      <c r="O30" s="46">
        <v>500</v>
      </c>
      <c r="P30" s="52"/>
    </row>
    <row r="31" s="3" customFormat="1" customHeight="1" spans="1:16">
      <c r="A31" s="50"/>
      <c r="B31" s="50"/>
      <c r="C31" s="50"/>
      <c r="D31" s="50"/>
      <c r="E31" s="50"/>
      <c r="F31" s="51">
        <f t="shared" ref="F31:I31" si="7">SUM(F29:F30)</f>
        <v>40734</v>
      </c>
      <c r="G31" s="51"/>
      <c r="H31" s="51">
        <f t="shared" si="7"/>
        <v>1000</v>
      </c>
      <c r="I31" s="51">
        <f t="shared" si="7"/>
        <v>40</v>
      </c>
      <c r="J31" s="51"/>
      <c r="K31" s="51"/>
      <c r="L31" s="51"/>
      <c r="M31" s="51"/>
      <c r="N31" s="51"/>
      <c r="O31" s="51">
        <f>SUM(O29:O30)</f>
        <v>1000</v>
      </c>
      <c r="P31" s="53"/>
    </row>
    <row r="32" s="3" customFormat="1" customHeight="1" spans="1:16">
      <c r="A32" s="34" t="s">
        <v>54</v>
      </c>
      <c r="B32" s="34" t="s">
        <v>27</v>
      </c>
      <c r="C32" s="34" t="s">
        <v>55</v>
      </c>
      <c r="D32" s="34" t="s">
        <v>56</v>
      </c>
      <c r="E32" s="34" t="s">
        <v>57</v>
      </c>
      <c r="F32" s="54">
        <v>28124</v>
      </c>
      <c r="G32" s="45" t="s">
        <v>58</v>
      </c>
      <c r="H32" s="46">
        <v>987</v>
      </c>
      <c r="I32" s="46">
        <v>21</v>
      </c>
      <c r="J32" s="47"/>
      <c r="K32" s="47"/>
      <c r="L32" s="47"/>
      <c r="M32" s="47"/>
      <c r="N32" s="47"/>
      <c r="O32" s="46">
        <v>987</v>
      </c>
      <c r="P32" s="48"/>
    </row>
    <row r="33" s="3" customFormat="1" customHeight="1" spans="1:22">
      <c r="A33" s="37"/>
      <c r="B33" s="37"/>
      <c r="C33" s="37"/>
      <c r="D33" s="37"/>
      <c r="E33" s="37"/>
      <c r="F33" s="54">
        <v>28080</v>
      </c>
      <c r="G33" s="45" t="s">
        <v>59</v>
      </c>
      <c r="H33" s="46">
        <v>960</v>
      </c>
      <c r="I33" s="46">
        <v>21</v>
      </c>
      <c r="J33" s="47"/>
      <c r="K33" s="47"/>
      <c r="L33" s="47"/>
      <c r="M33" s="47"/>
      <c r="N33" s="47"/>
      <c r="O33" s="46">
        <v>960</v>
      </c>
      <c r="P33" s="48"/>
    </row>
    <row r="34" s="3" customFormat="1" customHeight="1" spans="1:22">
      <c r="A34" s="37"/>
      <c r="B34" s="37"/>
      <c r="C34" s="37"/>
      <c r="D34" s="37"/>
      <c r="E34" s="37"/>
      <c r="F34" s="54">
        <v>28169</v>
      </c>
      <c r="G34" s="45" t="s">
        <v>60</v>
      </c>
      <c r="H34" s="46">
        <v>965</v>
      </c>
      <c r="I34" s="46">
        <v>21</v>
      </c>
      <c r="J34" s="47"/>
      <c r="K34" s="47"/>
      <c r="L34" s="47"/>
      <c r="M34" s="47"/>
      <c r="N34" s="47"/>
      <c r="O34" s="46">
        <v>965</v>
      </c>
      <c r="P34" s="48"/>
    </row>
    <row r="35" s="3" customFormat="1" customHeight="1" spans="1:22">
      <c r="A35" s="37"/>
      <c r="B35" s="37"/>
      <c r="C35" s="37"/>
      <c r="D35" s="37"/>
      <c r="E35" s="37"/>
      <c r="F35" s="54">
        <v>28294</v>
      </c>
      <c r="G35" s="45" t="s">
        <v>61</v>
      </c>
      <c r="H35" s="46">
        <v>987</v>
      </c>
      <c r="I35" s="46">
        <v>21</v>
      </c>
      <c r="J35" s="47"/>
      <c r="K35" s="47"/>
      <c r="L35" s="47"/>
      <c r="M35" s="47"/>
      <c r="N35" s="47"/>
      <c r="O35" s="46">
        <v>987</v>
      </c>
      <c r="P35" s="48"/>
    </row>
    <row r="36" s="3" customFormat="1" customHeight="1" spans="1:22">
      <c r="A36" s="37"/>
      <c r="B36" s="37"/>
      <c r="C36" s="37"/>
      <c r="D36" s="37"/>
      <c r="E36" s="37"/>
      <c r="F36" s="54">
        <v>28131</v>
      </c>
      <c r="G36" s="45" t="s">
        <v>62</v>
      </c>
      <c r="H36" s="46">
        <v>970</v>
      </c>
      <c r="I36" s="46">
        <v>21</v>
      </c>
      <c r="J36" s="47"/>
      <c r="K36" s="47"/>
      <c r="L36" s="47"/>
      <c r="M36" s="47"/>
      <c r="N36" s="47"/>
      <c r="O36" s="46">
        <v>970</v>
      </c>
      <c r="P36" s="48"/>
    </row>
    <row r="37" s="3" customFormat="1" customHeight="1" spans="1:22">
      <c r="A37" s="37"/>
      <c r="B37" s="37"/>
      <c r="C37" s="37"/>
      <c r="D37" s="37"/>
      <c r="E37" s="37"/>
      <c r="F37" s="54">
        <v>28004</v>
      </c>
      <c r="G37" s="45" t="s">
        <v>63</v>
      </c>
      <c r="H37" s="46">
        <v>987</v>
      </c>
      <c r="I37" s="46">
        <v>21</v>
      </c>
      <c r="J37" s="47"/>
      <c r="K37" s="47"/>
      <c r="L37" s="47"/>
      <c r="M37" s="47"/>
      <c r="N37" s="47"/>
      <c r="O37" s="46">
        <v>987</v>
      </c>
      <c r="P37" s="48"/>
    </row>
    <row r="38" s="3" customFormat="1" customHeight="1" spans="1:22">
      <c r="A38" s="37"/>
      <c r="B38" s="37"/>
      <c r="C38" s="37"/>
      <c r="D38" s="37"/>
      <c r="E38" s="55"/>
      <c r="F38" s="54">
        <v>28022</v>
      </c>
      <c r="G38" s="45" t="s">
        <v>64</v>
      </c>
      <c r="H38" s="46">
        <v>940</v>
      </c>
      <c r="I38" s="46">
        <v>21</v>
      </c>
      <c r="J38" s="47"/>
      <c r="K38" s="47"/>
      <c r="L38" s="47"/>
      <c r="M38" s="47"/>
      <c r="N38" s="47"/>
      <c r="O38" s="46">
        <v>940</v>
      </c>
      <c r="P38" s="48"/>
    </row>
    <row r="39" s="3" customFormat="1" customHeight="1" spans="1:22">
      <c r="A39" s="50"/>
      <c r="B39" s="50"/>
      <c r="C39" s="50"/>
      <c r="D39" s="50"/>
      <c r="E39" s="56"/>
      <c r="F39" s="57">
        <f t="shared" ref="F39:I39" si="8">SUM(F32:F38)</f>
        <v>196824</v>
      </c>
      <c r="G39" s="56"/>
      <c r="H39" s="51">
        <f t="shared" si="8"/>
        <v>6796</v>
      </c>
      <c r="I39" s="51">
        <f t="shared" si="8"/>
        <v>147</v>
      </c>
      <c r="J39" s="58"/>
      <c r="K39" s="58"/>
      <c r="L39" s="58"/>
      <c r="M39" s="58"/>
      <c r="N39" s="58"/>
      <c r="O39" s="51">
        <f>SUM(O32:O38)</f>
        <v>6796</v>
      </c>
      <c r="P39" s="59"/>
    </row>
    <row r="40" s="3" customFormat="1" customHeight="1" spans="1:22">
      <c r="A40" s="34" t="s">
        <v>65</v>
      </c>
      <c r="B40" s="34" t="s">
        <v>27</v>
      </c>
      <c r="C40" s="35" t="s">
        <v>66</v>
      </c>
      <c r="D40" s="35" t="s">
        <v>67</v>
      </c>
      <c r="E40" s="23"/>
      <c r="F40" s="24">
        <v>98243</v>
      </c>
      <c r="G40" s="24"/>
      <c r="H40" s="23">
        <v>6231</v>
      </c>
      <c r="I40" s="24">
        <v>50</v>
      </c>
      <c r="J40" s="24"/>
      <c r="K40" s="24"/>
      <c r="L40" s="24"/>
      <c r="M40" s="24"/>
      <c r="N40" s="24"/>
      <c r="O40" s="23">
        <v>6231</v>
      </c>
      <c r="P40" s="27">
        <v>277523.25</v>
      </c>
    </row>
    <row r="41" s="3" customFormat="1" customHeight="1" spans="1:22">
      <c r="A41" s="28"/>
      <c r="B41" s="28"/>
      <c r="C41" s="28"/>
      <c r="D41" s="28"/>
      <c r="E41" s="28"/>
      <c r="F41" s="29">
        <f>SUM(F40:F40)</f>
        <v>98243</v>
      </c>
      <c r="G41" s="28"/>
      <c r="H41" s="30">
        <f>SUM(H40:H40)</f>
        <v>6231</v>
      </c>
      <c r="I41" s="30">
        <f>SUM(I40)</f>
        <v>50</v>
      </c>
      <c r="J41" s="31">
        <f>SUM(J40)</f>
        <v>0</v>
      </c>
      <c r="K41" s="31">
        <f>SUM(K40)</f>
        <v>0</v>
      </c>
      <c r="L41" s="31">
        <f>SUM(L40)</f>
        <v>0</v>
      </c>
      <c r="M41" s="31"/>
      <c r="N41" s="31"/>
      <c r="O41" s="31">
        <f>SUM(O40:O40)</f>
        <v>6231</v>
      </c>
      <c r="P41" s="32">
        <f>SUM(P40:P40)</f>
        <v>277523.25</v>
      </c>
    </row>
    <row r="42" s="3" customFormat="1" customHeight="1" spans="1:22">
      <c r="A42" s="60" t="s">
        <v>68</v>
      </c>
      <c r="B42" s="60" t="s">
        <v>69</v>
      </c>
      <c r="C42" s="61">
        <f>H17+H15+H13+H7+H22+H20+H24+H26+H41+H28</f>
        <v>14272</v>
      </c>
      <c r="D42" s="61" t="s">
        <v>70</v>
      </c>
      <c r="E42" s="60">
        <f>H39+H31</f>
        <v>7796</v>
      </c>
      <c r="F42" s="62"/>
      <c r="G42" s="60" t="s">
        <v>71</v>
      </c>
      <c r="H42" s="63">
        <f>C42+E42</f>
        <v>22068</v>
      </c>
      <c r="I42" s="64"/>
      <c r="J42" s="64"/>
      <c r="K42" s="64"/>
      <c r="L42" s="64"/>
      <c r="M42" s="64"/>
      <c r="N42" s="64"/>
      <c r="O42" s="64"/>
      <c r="P42" s="65"/>
    </row>
    <row r="43" s="3" customFormat="1" customHeight="1" spans="1:22">
      <c r="A43" s="60" t="s">
        <v>72</v>
      </c>
      <c r="B43" s="60">
        <f>+H41+H22+H15+H28</f>
        <v>9169</v>
      </c>
      <c r="C43" s="61">
        <f>H26+H24+H20+H17+H13+H7</f>
        <v>5103</v>
      </c>
      <c r="D43" s="66" t="s">
        <v>73</v>
      </c>
      <c r="E43" s="67">
        <f>H39+H31</f>
        <v>7796</v>
      </c>
      <c r="F43" s="60">
        <v>0</v>
      </c>
      <c r="G43" s="68">
        <v>1</v>
      </c>
      <c r="H43" s="69">
        <v>6</v>
      </c>
      <c r="I43" s="70"/>
      <c r="J43" s="64"/>
      <c r="K43" s="64"/>
      <c r="L43" s="64"/>
      <c r="M43" s="64"/>
      <c r="N43" s="64"/>
      <c r="O43" s="64"/>
      <c r="P43" s="65"/>
    </row>
    <row r="44" s="3" customFormat="1" customHeight="1" spans="1:22">
      <c r="A44" s="33" t="s">
        <v>74</v>
      </c>
      <c r="B44" s="34" t="s">
        <v>75</v>
      </c>
      <c r="C44" s="35" t="s">
        <v>24</v>
      </c>
      <c r="D44" s="23" t="s">
        <v>76</v>
      </c>
      <c r="E44" s="23"/>
      <c r="F44" s="23"/>
      <c r="G44" s="23"/>
      <c r="H44" s="23">
        <v>648</v>
      </c>
      <c r="I44" s="23">
        <v>5</v>
      </c>
      <c r="J44" s="24"/>
      <c r="K44" s="24"/>
      <c r="L44" s="24"/>
      <c r="M44" s="24"/>
      <c r="N44" s="24"/>
      <c r="O44" s="23">
        <v>648</v>
      </c>
      <c r="P44" s="25">
        <v>38400.8</v>
      </c>
    </row>
    <row r="45" s="3" customFormat="1" customHeight="1" spans="1:22">
      <c r="A45" s="36"/>
      <c r="B45" s="37"/>
      <c r="C45" s="38"/>
      <c r="D45" s="23" t="s">
        <v>77</v>
      </c>
      <c r="E45" s="23"/>
      <c r="F45" s="23"/>
      <c r="G45" s="23"/>
      <c r="H45" s="23">
        <v>95</v>
      </c>
      <c r="I45" s="23">
        <v>1</v>
      </c>
      <c r="J45" s="24"/>
      <c r="K45" s="24"/>
      <c r="L45" s="24"/>
      <c r="M45" s="24"/>
      <c r="N45" s="24"/>
      <c r="O45" s="23">
        <v>95</v>
      </c>
      <c r="P45" s="25">
        <v>5561.9</v>
      </c>
      <c r="R45" s="3" t="s">
        <v>72</v>
      </c>
      <c r="S45" s="3" t="s">
        <v>78</v>
      </c>
      <c r="T45" s="3" t="s">
        <v>73</v>
      </c>
      <c r="U45" s="3" t="s">
        <v>79</v>
      </c>
    </row>
    <row r="46" s="3" customFormat="1" customHeight="1" spans="1:22">
      <c r="A46" s="36"/>
      <c r="B46" s="37"/>
      <c r="C46" s="38"/>
      <c r="D46" s="23" t="s">
        <v>80</v>
      </c>
      <c r="E46" s="23"/>
      <c r="F46" s="23"/>
      <c r="G46" s="23"/>
      <c r="H46" s="23">
        <v>623</v>
      </c>
      <c r="I46" s="23">
        <v>5</v>
      </c>
      <c r="J46" s="24"/>
      <c r="K46" s="24"/>
      <c r="L46" s="24"/>
      <c r="M46" s="24"/>
      <c r="N46" s="24"/>
      <c r="O46" s="23">
        <v>623</v>
      </c>
      <c r="P46" s="25">
        <v>34906.9</v>
      </c>
      <c r="R46" s="39">
        <f>B43+B50</f>
        <v>9169</v>
      </c>
      <c r="S46" s="39">
        <f>C43+C50</f>
        <v>6546</v>
      </c>
      <c r="T46" s="39">
        <f>E43+E50</f>
        <v>7796</v>
      </c>
      <c r="U46" s="39">
        <f>F43+F50</f>
        <v>0</v>
      </c>
      <c r="V46" s="3">
        <f>U46+T46+S46+R46</f>
        <v>23511</v>
      </c>
    </row>
    <row r="47" s="3" customFormat="1" customHeight="1" spans="1:22">
      <c r="A47" s="36"/>
      <c r="B47" s="37"/>
      <c r="C47" s="38"/>
      <c r="D47" s="23" t="s">
        <v>81</v>
      </c>
      <c r="E47" s="23"/>
      <c r="F47" s="23"/>
      <c r="G47" s="23"/>
      <c r="H47" s="23">
        <v>77</v>
      </c>
      <c r="I47" s="23">
        <v>1</v>
      </c>
      <c r="J47" s="24"/>
      <c r="K47" s="24"/>
      <c r="L47" s="24"/>
      <c r="M47" s="24"/>
      <c r="N47" s="24"/>
      <c r="O47" s="23">
        <v>77</v>
      </c>
      <c r="P47" s="25">
        <v>4264.8</v>
      </c>
      <c r="Q47" s="39"/>
      <c r="R47" s="39" t="s">
        <v>82</v>
      </c>
      <c r="S47" s="39"/>
      <c r="T47" s="39"/>
      <c r="U47" s="39"/>
      <c r="V47" s="39"/>
    </row>
    <row r="48" s="3" customFormat="1" customHeight="1" spans="1:22">
      <c r="A48" s="40"/>
      <c r="B48" s="41"/>
      <c r="C48" s="42"/>
      <c r="D48" s="41"/>
      <c r="E48" s="43"/>
      <c r="F48" s="43"/>
      <c r="G48" s="43"/>
      <c r="H48" s="43">
        <f>SUM(H44:H47)</f>
        <v>1443</v>
      </c>
      <c r="I48" s="43">
        <f>SUM(I44:I47)</f>
        <v>12</v>
      </c>
      <c r="J48" s="43"/>
      <c r="K48" s="43"/>
      <c r="L48" s="43"/>
      <c r="M48" s="43"/>
      <c r="N48" s="43"/>
      <c r="O48" s="43">
        <f>SUM(O44:O47)</f>
        <v>1443</v>
      </c>
      <c r="P48" s="43">
        <f>SUM(P44:P47)</f>
        <v>83134.4</v>
      </c>
      <c r="Q48" s="39" t="s">
        <v>83</v>
      </c>
      <c r="R48" s="39" t="s">
        <v>84</v>
      </c>
      <c r="S48" s="39" t="s">
        <v>85</v>
      </c>
      <c r="T48" s="71" t="s">
        <v>86</v>
      </c>
      <c r="U48" s="39"/>
      <c r="V48" s="39"/>
    </row>
    <row r="49" s="2" customFormat="1" customHeight="1" spans="1:22">
      <c r="A49" s="60" t="s">
        <v>68</v>
      </c>
      <c r="B49" s="60" t="s">
        <v>69</v>
      </c>
      <c r="C49" s="61">
        <f>H48</f>
        <v>1443</v>
      </c>
      <c r="D49" s="61" t="s">
        <v>70</v>
      </c>
      <c r="E49" s="60"/>
      <c r="F49" s="62"/>
      <c r="G49" s="60" t="s">
        <v>71</v>
      </c>
      <c r="H49" s="63">
        <f>C49+E49</f>
        <v>1443</v>
      </c>
      <c r="Q49" s="39" t="s">
        <v>69</v>
      </c>
      <c r="R49" s="39">
        <f>C49+C42</f>
        <v>15715</v>
      </c>
      <c r="S49" s="72">
        <f>R49/R51</f>
        <v>0.668410531240696</v>
      </c>
      <c r="T49" s="39">
        <v>7375</v>
      </c>
      <c r="U49" s="39">
        <f t="shared" ref="U49:U51" si="9">R49-T49</f>
        <v>8340</v>
      </c>
      <c r="V49" s="73">
        <f>U49/T49</f>
        <v>1.13084745762712</v>
      </c>
    </row>
    <row r="50" s="2" customFormat="1" customHeight="1" spans="1:22">
      <c r="A50" s="60" t="s">
        <v>72</v>
      </c>
      <c r="B50" s="60"/>
      <c r="C50" s="61">
        <f>H48</f>
        <v>1443</v>
      </c>
      <c r="D50" s="66" t="s">
        <v>73</v>
      </c>
      <c r="E50" s="67"/>
      <c r="F50" s="60">
        <v>0</v>
      </c>
      <c r="G50" s="68"/>
      <c r="H50" s="69"/>
      <c r="Q50" s="39" t="s">
        <v>70</v>
      </c>
      <c r="R50" s="39">
        <f>E50+E42</f>
        <v>7796</v>
      </c>
      <c r="S50" s="72">
        <f>R50/R51</f>
        <v>0.331589468759304</v>
      </c>
      <c r="T50" s="39">
        <v>7346</v>
      </c>
      <c r="U50" s="39">
        <f t="shared" si="9"/>
        <v>450</v>
      </c>
      <c r="V50" s="73">
        <f>U50/T50</f>
        <v>0.0612578273890553</v>
      </c>
    </row>
    <row r="51" s="2" customFormat="1" customHeight="1" spans="1:22">
      <c r="A51" s="74" t="s">
        <v>87</v>
      </c>
      <c r="B51" s="74" t="s">
        <v>27</v>
      </c>
      <c r="C51" s="75" t="s">
        <v>88</v>
      </c>
      <c r="D51" s="75" t="s">
        <v>89</v>
      </c>
      <c r="E51" s="74" t="s">
        <v>90</v>
      </c>
      <c r="F51" s="23">
        <v>23510</v>
      </c>
      <c r="G51" s="23" t="s">
        <v>91</v>
      </c>
      <c r="H51" s="23">
        <v>900</v>
      </c>
      <c r="I51" s="23">
        <v>16</v>
      </c>
      <c r="J51" s="18"/>
      <c r="K51" s="18"/>
      <c r="L51" s="18"/>
      <c r="M51" s="18"/>
      <c r="N51" s="18"/>
      <c r="O51" s="23">
        <v>900</v>
      </c>
      <c r="P51" s="76"/>
      <c r="Q51" s="39"/>
      <c r="R51" s="39">
        <f>SUM(R49:R50)</f>
        <v>23511</v>
      </c>
      <c r="S51" s="39"/>
      <c r="T51" s="39">
        <f>SUM(T49:T50)</f>
        <v>14721</v>
      </c>
      <c r="U51" s="39">
        <f t="shared" si="9"/>
        <v>8790</v>
      </c>
      <c r="V51" s="39"/>
    </row>
    <row r="52" s="2" customFormat="1" customHeight="1" spans="1:22">
      <c r="A52" s="49"/>
      <c r="B52" s="49"/>
      <c r="C52" s="77"/>
      <c r="D52" s="77"/>
      <c r="E52" s="49"/>
      <c r="F52" s="23">
        <v>23650</v>
      </c>
      <c r="G52" s="23" t="s">
        <v>92</v>
      </c>
      <c r="H52" s="23">
        <v>900</v>
      </c>
      <c r="I52" s="23">
        <v>16</v>
      </c>
      <c r="J52" s="24"/>
      <c r="K52" s="24"/>
      <c r="L52" s="24"/>
      <c r="M52" s="24"/>
      <c r="N52" s="24"/>
      <c r="O52" s="23">
        <v>900</v>
      </c>
      <c r="P52" s="27"/>
    </row>
    <row r="53" s="2" customFormat="1" customHeight="1" spans="1:22">
      <c r="A53" s="28"/>
      <c r="B53" s="28"/>
      <c r="C53" s="28"/>
      <c r="D53" s="28"/>
      <c r="E53" s="28"/>
      <c r="F53" s="43">
        <f>SUM(F50:F52)</f>
        <v>47160</v>
      </c>
      <c r="G53" s="43"/>
      <c r="H53" s="43">
        <f>SUM(H51:H52)</f>
        <v>1800</v>
      </c>
      <c r="I53" s="43">
        <f>SUM(I51:I52)</f>
        <v>32</v>
      </c>
      <c r="J53" s="31">
        <f t="shared" ref="J53:L53" si="10">SUM(J52)</f>
        <v>0</v>
      </c>
      <c r="K53" s="31">
        <f t="shared" si="10"/>
        <v>0</v>
      </c>
      <c r="L53" s="31">
        <f t="shared" si="10"/>
        <v>0</v>
      </c>
      <c r="M53" s="31"/>
      <c r="N53" s="31"/>
      <c r="O53" s="43">
        <f>SUM(O51:O52)</f>
        <v>1800</v>
      </c>
      <c r="P53" s="31"/>
    </row>
    <row r="54" s="2" customFormat="1" customHeight="1" spans="1:22">
      <c r="A54" s="33" t="s">
        <v>87</v>
      </c>
      <c r="B54" s="34" t="s">
        <v>93</v>
      </c>
      <c r="C54" s="35" t="s">
        <v>94</v>
      </c>
      <c r="D54" s="34" t="s">
        <v>95</v>
      </c>
      <c r="E54" s="34" t="s">
        <v>96</v>
      </c>
      <c r="F54" s="23">
        <v>19930</v>
      </c>
      <c r="G54" s="23" t="s">
        <v>97</v>
      </c>
      <c r="H54" s="23">
        <v>1351</v>
      </c>
      <c r="I54" s="23">
        <v>10</v>
      </c>
      <c r="J54" s="24"/>
      <c r="K54" s="24"/>
      <c r="L54" s="24"/>
      <c r="M54" s="24"/>
      <c r="N54" s="24"/>
      <c r="O54" s="23">
        <v>1351</v>
      </c>
      <c r="P54" s="25">
        <v>57191.5</v>
      </c>
    </row>
    <row r="55" s="2" customFormat="1" customHeight="1" spans="1:22">
      <c r="A55" s="36"/>
      <c r="B55" s="37"/>
      <c r="C55" s="38"/>
      <c r="D55" s="37"/>
      <c r="E55" s="37"/>
      <c r="F55" s="23">
        <v>19993</v>
      </c>
      <c r="G55" s="23" t="s">
        <v>98</v>
      </c>
      <c r="H55" s="23">
        <v>1318</v>
      </c>
      <c r="I55" s="23">
        <v>10</v>
      </c>
      <c r="J55" s="24"/>
      <c r="K55" s="24"/>
      <c r="L55" s="24"/>
      <c r="M55" s="24"/>
      <c r="N55" s="24"/>
      <c r="O55" s="23">
        <v>1318</v>
      </c>
      <c r="P55" s="25">
        <v>56087.25</v>
      </c>
    </row>
    <row r="56" s="2" customFormat="1" customHeight="1" spans="1:22">
      <c r="A56" s="78"/>
      <c r="B56" s="43"/>
      <c r="C56" s="79"/>
      <c r="D56" s="43"/>
      <c r="E56" s="43"/>
      <c r="F56" s="43">
        <f t="shared" ref="F56:I56" si="11">SUM(F54:F55)</f>
        <v>39923</v>
      </c>
      <c r="G56" s="43"/>
      <c r="H56" s="43">
        <f t="shared" si="11"/>
        <v>2669</v>
      </c>
      <c r="I56" s="43">
        <f t="shared" si="11"/>
        <v>20</v>
      </c>
      <c r="J56" s="43"/>
      <c r="K56" s="43"/>
      <c r="L56" s="43"/>
      <c r="M56" s="43"/>
      <c r="N56" s="43"/>
      <c r="O56" s="43">
        <f>SUM(O54:O55)</f>
        <v>2669</v>
      </c>
      <c r="P56" s="43">
        <f>SUM(P54:P55)</f>
        <v>113278.75</v>
      </c>
    </row>
    <row r="57" s="2" customFormat="1" customHeight="1" spans="1:22">
      <c r="A57" s="18" t="s">
        <v>99</v>
      </c>
      <c r="B57" s="18" t="s">
        <v>100</v>
      </c>
      <c r="C57" s="18" t="s">
        <v>34</v>
      </c>
      <c r="D57" s="18" t="s">
        <v>101</v>
      </c>
      <c r="E57" s="80"/>
      <c r="F57" s="81"/>
      <c r="G57" s="81"/>
      <c r="H57" s="81">
        <v>1800</v>
      </c>
      <c r="I57" s="81">
        <v>10</v>
      </c>
      <c r="J57" s="81"/>
      <c r="K57" s="46"/>
      <c r="L57" s="46"/>
      <c r="M57" s="46"/>
      <c r="N57" s="46"/>
      <c r="O57" s="46">
        <v>1800</v>
      </c>
      <c r="P57" s="82">
        <v>104062.4</v>
      </c>
    </row>
    <row r="58" s="2" customFormat="1" customHeight="1" spans="1:22">
      <c r="A58" s="28"/>
      <c r="B58" s="28"/>
      <c r="C58" s="28"/>
      <c r="D58" s="28"/>
      <c r="E58" s="28"/>
      <c r="F58" s="30">
        <f t="shared" ref="F58:I58" si="12">SUM(F57:F57)</f>
        <v>0</v>
      </c>
      <c r="G58" s="30"/>
      <c r="H58" s="30">
        <f t="shared" si="12"/>
        <v>1800</v>
      </c>
      <c r="I58" s="30">
        <f t="shared" si="12"/>
        <v>10</v>
      </c>
      <c r="J58" s="30"/>
      <c r="K58" s="51"/>
      <c r="L58" s="51"/>
      <c r="M58" s="51"/>
      <c r="N58" s="51"/>
      <c r="O58" s="51">
        <f>SUM(O57:O57)</f>
        <v>1800</v>
      </c>
      <c r="P58" s="83">
        <f>SUM(P57:P57)</f>
        <v>104062.4</v>
      </c>
    </row>
    <row r="59" s="2" customFormat="1" customHeight="1" spans="1:22">
      <c r="A59" s="23" t="s">
        <v>102</v>
      </c>
      <c r="B59" s="23" t="s">
        <v>100</v>
      </c>
      <c r="C59" s="23" t="s">
        <v>34</v>
      </c>
      <c r="D59" s="23" t="s">
        <v>103</v>
      </c>
      <c r="E59" s="23"/>
      <c r="F59" s="23"/>
      <c r="G59" s="23"/>
      <c r="H59" s="23">
        <v>687</v>
      </c>
      <c r="I59" s="23">
        <v>4</v>
      </c>
      <c r="J59" s="23"/>
      <c r="K59" s="23"/>
      <c r="L59" s="23"/>
      <c r="M59" s="23"/>
      <c r="N59" s="23"/>
      <c r="O59" s="23">
        <v>687</v>
      </c>
      <c r="P59" s="84">
        <v>43365.3</v>
      </c>
    </row>
    <row r="60" s="2" customFormat="1" customHeight="1" spans="1:22">
      <c r="A60" s="23"/>
      <c r="B60" s="23"/>
      <c r="C60" s="23"/>
      <c r="D60" s="23" t="s">
        <v>104</v>
      </c>
      <c r="E60" s="23"/>
      <c r="F60" s="23"/>
      <c r="G60" s="23"/>
      <c r="H60" s="23">
        <v>720</v>
      </c>
      <c r="I60" s="23">
        <v>4</v>
      </c>
      <c r="J60" s="23"/>
      <c r="K60" s="23"/>
      <c r="L60" s="23"/>
      <c r="M60" s="23"/>
      <c r="N60" s="23"/>
      <c r="O60" s="23">
        <v>720</v>
      </c>
      <c r="P60" s="84">
        <v>40515.9</v>
      </c>
    </row>
    <row r="61" s="2" customFormat="1" customHeight="1" spans="1:22">
      <c r="A61" s="28"/>
      <c r="B61" s="28"/>
      <c r="C61" s="28"/>
      <c r="D61" s="28"/>
      <c r="E61" s="28"/>
      <c r="F61" s="28"/>
      <c r="G61" s="28"/>
      <c r="H61" s="28">
        <f>SUM(H59:H60)</f>
        <v>1407</v>
      </c>
      <c r="I61" s="28"/>
      <c r="J61" s="28"/>
      <c r="K61" s="28"/>
      <c r="L61" s="28"/>
      <c r="M61" s="28"/>
      <c r="N61" s="28"/>
      <c r="O61" s="28">
        <f>SUM(O59:O60)</f>
        <v>1407</v>
      </c>
      <c r="P61" s="85">
        <f>SUM(P59:P60)</f>
        <v>83881.2</v>
      </c>
    </row>
    <row r="62" s="2" customFormat="1" customHeight="1" spans="1:22">
      <c r="A62" s="23" t="s">
        <v>102</v>
      </c>
      <c r="B62" s="23" t="s">
        <v>105</v>
      </c>
      <c r="C62" s="23" t="s">
        <v>106</v>
      </c>
      <c r="D62" s="23" t="s">
        <v>107</v>
      </c>
      <c r="E62" s="23" t="s">
        <v>108</v>
      </c>
      <c r="F62" s="23"/>
      <c r="G62" s="23"/>
      <c r="H62" s="23">
        <v>943</v>
      </c>
      <c r="I62" s="23">
        <v>4</v>
      </c>
      <c r="J62" s="23"/>
      <c r="K62" s="23"/>
      <c r="L62" s="23"/>
      <c r="M62" s="23"/>
      <c r="N62" s="23"/>
      <c r="O62" s="23">
        <v>943</v>
      </c>
      <c r="P62" s="84">
        <v>37394.6</v>
      </c>
    </row>
    <row r="63" s="2" customFormat="1" customHeight="1" spans="1:22">
      <c r="A63" s="23"/>
      <c r="B63" s="23"/>
      <c r="C63" s="23"/>
      <c r="D63" s="23" t="s">
        <v>109</v>
      </c>
      <c r="E63" s="23" t="s">
        <v>108</v>
      </c>
      <c r="F63" s="23"/>
      <c r="G63" s="23"/>
      <c r="H63" s="23">
        <v>640</v>
      </c>
      <c r="I63" s="23">
        <v>2</v>
      </c>
      <c r="J63" s="23"/>
      <c r="K63" s="23"/>
      <c r="L63" s="23"/>
      <c r="M63" s="23"/>
      <c r="N63" s="23"/>
      <c r="O63" s="23">
        <v>640</v>
      </c>
      <c r="P63" s="84">
        <v>19603.1</v>
      </c>
    </row>
    <row r="64" s="2" customFormat="1" customHeight="1" spans="1:22">
      <c r="A64" s="23"/>
      <c r="B64" s="23"/>
      <c r="C64" s="23"/>
      <c r="D64" s="23" t="s">
        <v>110</v>
      </c>
      <c r="E64" s="23" t="s">
        <v>111</v>
      </c>
      <c r="F64" s="23"/>
      <c r="G64" s="23"/>
      <c r="H64" s="23">
        <v>640</v>
      </c>
      <c r="I64" s="23">
        <v>2</v>
      </c>
      <c r="J64" s="23"/>
      <c r="K64" s="23"/>
      <c r="L64" s="23"/>
      <c r="M64" s="23"/>
      <c r="N64" s="23"/>
      <c r="O64" s="23">
        <v>640</v>
      </c>
      <c r="P64" s="84">
        <v>19687.1</v>
      </c>
    </row>
    <row r="65" s="2" customFormat="1" customHeight="1" spans="1:22">
      <c r="A65" s="28"/>
      <c r="B65" s="28"/>
      <c r="C65" s="28"/>
      <c r="D65" s="28"/>
      <c r="E65" s="28"/>
      <c r="F65" s="28"/>
      <c r="G65" s="28"/>
      <c r="H65" s="28">
        <f>SUM(H62:H64)</f>
        <v>2223</v>
      </c>
      <c r="I65" s="28"/>
      <c r="J65" s="28"/>
      <c r="K65" s="28"/>
      <c r="L65" s="28"/>
      <c r="M65" s="28"/>
      <c r="N65" s="28"/>
      <c r="O65" s="28">
        <f>SUM(O62:O64)</f>
        <v>2223</v>
      </c>
      <c r="P65" s="85">
        <f>SUM(P62:P64)</f>
        <v>76684.8</v>
      </c>
    </row>
    <row r="66" s="2" customFormat="1" customHeight="1" spans="1:22">
      <c r="A66" s="18" t="s">
        <v>112</v>
      </c>
      <c r="B66" s="18" t="s">
        <v>48</v>
      </c>
      <c r="C66" s="18" t="s">
        <v>113</v>
      </c>
      <c r="D66" s="18" t="s">
        <v>114</v>
      </c>
      <c r="E66" s="80" t="s">
        <v>115</v>
      </c>
      <c r="F66" s="81">
        <v>20553</v>
      </c>
      <c r="G66" s="81" t="s">
        <v>116</v>
      </c>
      <c r="H66" s="81">
        <v>760</v>
      </c>
      <c r="I66" s="81">
        <v>19</v>
      </c>
      <c r="J66" s="81"/>
      <c r="K66" s="46"/>
      <c r="L66" s="46"/>
      <c r="M66" s="46"/>
      <c r="N66" s="46"/>
      <c r="O66" s="46">
        <v>760</v>
      </c>
      <c r="P66" s="52"/>
    </row>
    <row r="67" s="2" customFormat="1" customHeight="1" spans="1:22">
      <c r="A67" s="23"/>
      <c r="B67" s="23"/>
      <c r="C67" s="23"/>
      <c r="D67" s="23"/>
      <c r="E67" s="86"/>
      <c r="F67" s="87">
        <v>20181</v>
      </c>
      <c r="G67" s="87" t="s">
        <v>117</v>
      </c>
      <c r="H67" s="87">
        <v>760</v>
      </c>
      <c r="I67" s="87">
        <v>19</v>
      </c>
      <c r="J67" s="87"/>
      <c r="K67" s="46"/>
      <c r="L67" s="46"/>
      <c r="M67" s="46"/>
      <c r="N67" s="46"/>
      <c r="O67" s="46">
        <v>760</v>
      </c>
      <c r="P67" s="52"/>
    </row>
    <row r="68" s="2" customFormat="1" customHeight="1" spans="1:22">
      <c r="A68" s="28"/>
      <c r="B68" s="28"/>
      <c r="C68" s="28"/>
      <c r="D68" s="28"/>
      <c r="E68" s="28"/>
      <c r="F68" s="30">
        <f t="shared" ref="F68:I68" si="13">SUM(F66:F67)</f>
        <v>40734</v>
      </c>
      <c r="G68" s="30"/>
      <c r="H68" s="30">
        <f t="shared" si="13"/>
        <v>1520</v>
      </c>
      <c r="I68" s="30">
        <f t="shared" si="13"/>
        <v>38</v>
      </c>
      <c r="J68" s="30"/>
      <c r="K68" s="51"/>
      <c r="L68" s="51"/>
      <c r="M68" s="51"/>
      <c r="N68" s="51"/>
      <c r="O68" s="51">
        <f>SUM(O66:O67)</f>
        <v>1520</v>
      </c>
      <c r="P68" s="53"/>
    </row>
    <row r="69" s="2" customFormat="1" customHeight="1" spans="1:22">
      <c r="A69" s="18" t="s">
        <v>118</v>
      </c>
      <c r="B69" s="18" t="s">
        <v>119</v>
      </c>
      <c r="C69" s="18" t="s">
        <v>24</v>
      </c>
      <c r="D69" s="18" t="s">
        <v>120</v>
      </c>
      <c r="E69" s="80"/>
      <c r="F69" s="81"/>
      <c r="G69" s="81"/>
      <c r="H69" s="81">
        <v>2258</v>
      </c>
      <c r="I69" s="81">
        <v>11</v>
      </c>
      <c r="J69" s="81"/>
      <c r="K69" s="46"/>
      <c r="L69" s="46"/>
      <c r="M69" s="46"/>
      <c r="N69" s="46"/>
      <c r="O69" s="46">
        <v>2258</v>
      </c>
      <c r="P69" s="82">
        <v>119571.3</v>
      </c>
    </row>
    <row r="70" s="2" customFormat="1" customHeight="1" spans="1:22">
      <c r="A70" s="28"/>
      <c r="B70" s="28"/>
      <c r="C70" s="28"/>
      <c r="D70" s="28"/>
      <c r="E70" s="28"/>
      <c r="F70" s="30">
        <f t="shared" ref="F70:I70" si="14">SUM(F69:F69)</f>
        <v>0</v>
      </c>
      <c r="G70" s="30"/>
      <c r="H70" s="30">
        <f t="shared" si="14"/>
        <v>2258</v>
      </c>
      <c r="I70" s="30">
        <f t="shared" si="14"/>
        <v>11</v>
      </c>
      <c r="J70" s="30"/>
      <c r="K70" s="51"/>
      <c r="L70" s="51"/>
      <c r="M70" s="51"/>
      <c r="N70" s="51"/>
      <c r="O70" s="51">
        <f>SUM(O69:O69)</f>
        <v>2258</v>
      </c>
      <c r="P70" s="83">
        <f>SUM(P69:P69)</f>
        <v>119571.3</v>
      </c>
    </row>
    <row r="71" s="2" customFormat="1" customHeight="1" spans="1:22">
      <c r="A71" s="23" t="s">
        <v>121</v>
      </c>
      <c r="B71" s="23" t="s">
        <v>100</v>
      </c>
      <c r="C71" s="23" t="s">
        <v>34</v>
      </c>
      <c r="D71" s="23" t="s">
        <v>122</v>
      </c>
      <c r="E71" s="23"/>
      <c r="F71" s="23"/>
      <c r="G71" s="23"/>
      <c r="H71" s="23">
        <v>289</v>
      </c>
      <c r="I71" s="23">
        <v>2</v>
      </c>
      <c r="J71" s="23"/>
      <c r="K71" s="23"/>
      <c r="L71" s="23"/>
      <c r="M71" s="23"/>
      <c r="N71" s="23"/>
      <c r="O71" s="23">
        <v>289</v>
      </c>
      <c r="P71" s="84">
        <v>81267.4</v>
      </c>
    </row>
    <row r="72" s="2" customFormat="1" customHeight="1" spans="1:22">
      <c r="A72" s="23"/>
      <c r="B72" s="23"/>
      <c r="C72" s="23"/>
      <c r="D72" s="23" t="s">
        <v>123</v>
      </c>
      <c r="E72" s="23"/>
      <c r="F72" s="23"/>
      <c r="G72" s="23"/>
      <c r="H72" s="23">
        <v>1373</v>
      </c>
      <c r="I72" s="23">
        <v>8</v>
      </c>
      <c r="J72" s="23"/>
      <c r="K72" s="23"/>
      <c r="L72" s="23"/>
      <c r="M72" s="23"/>
      <c r="N72" s="23"/>
      <c r="O72" s="23">
        <v>1373</v>
      </c>
      <c r="P72" s="84">
        <v>17506.5</v>
      </c>
    </row>
    <row r="73" s="2" customFormat="1" customHeight="1" spans="1:22">
      <c r="A73" s="28"/>
      <c r="B73" s="28"/>
      <c r="C73" s="28"/>
      <c r="D73" s="28"/>
      <c r="E73" s="28"/>
      <c r="F73" s="28"/>
      <c r="G73" s="28"/>
      <c r="H73" s="28">
        <f>SUM(H71:H72)</f>
        <v>1662</v>
      </c>
      <c r="I73" s="28"/>
      <c r="J73" s="28"/>
      <c r="K73" s="28"/>
      <c r="L73" s="28"/>
      <c r="M73" s="28"/>
      <c r="N73" s="28"/>
      <c r="O73" s="28">
        <f>SUM(O71:O72)</f>
        <v>1662</v>
      </c>
      <c r="P73" s="85">
        <f>SUM(P71:P72)</f>
        <v>98773.9</v>
      </c>
    </row>
    <row r="74" s="2" customFormat="1" customHeight="1" spans="1:22">
      <c r="A74" s="74" t="s">
        <v>124</v>
      </c>
      <c r="B74" s="74" t="s">
        <v>27</v>
      </c>
      <c r="C74" s="75" t="s">
        <v>125</v>
      </c>
      <c r="D74" s="75" t="s">
        <v>126</v>
      </c>
      <c r="E74" s="74" t="s">
        <v>127</v>
      </c>
      <c r="F74" s="23">
        <v>28059</v>
      </c>
      <c r="G74" s="23" t="s">
        <v>128</v>
      </c>
      <c r="H74" s="23">
        <v>987</v>
      </c>
      <c r="I74" s="23">
        <v>21</v>
      </c>
      <c r="J74" s="18"/>
      <c r="K74" s="18"/>
      <c r="L74" s="18"/>
      <c r="M74" s="18"/>
      <c r="N74" s="18"/>
      <c r="O74" s="23">
        <v>987</v>
      </c>
      <c r="P74" s="76"/>
    </row>
    <row r="75" s="2" customFormat="1" customHeight="1" spans="1:22">
      <c r="A75" s="49"/>
      <c r="B75" s="49"/>
      <c r="C75" s="77"/>
      <c r="D75" s="77"/>
      <c r="E75" s="49"/>
      <c r="F75" s="23">
        <v>28161</v>
      </c>
      <c r="G75" s="23" t="s">
        <v>129</v>
      </c>
      <c r="H75" s="23">
        <v>987</v>
      </c>
      <c r="I75" s="23">
        <v>21</v>
      </c>
      <c r="J75" s="24"/>
      <c r="K75" s="24"/>
      <c r="L75" s="24"/>
      <c r="M75" s="24"/>
      <c r="N75" s="24"/>
      <c r="O75" s="23">
        <v>987</v>
      </c>
      <c r="P75" s="27"/>
    </row>
    <row r="76" s="2" customFormat="1" customHeight="1" spans="1:22">
      <c r="A76" s="28"/>
      <c r="B76" s="28"/>
      <c r="C76" s="28"/>
      <c r="D76" s="28"/>
      <c r="E76" s="28"/>
      <c r="F76" s="43">
        <f>SUM(F73:F75)</f>
        <v>56220</v>
      </c>
      <c r="G76" s="43"/>
      <c r="H76" s="43">
        <f>SUM(H74:H75)</f>
        <v>1974</v>
      </c>
      <c r="I76" s="43">
        <f>SUM(I74:I75)</f>
        <v>42</v>
      </c>
      <c r="J76" s="31">
        <f t="shared" ref="J76:L76" si="15">SUM(J75)</f>
        <v>0</v>
      </c>
      <c r="K76" s="31">
        <f t="shared" si="15"/>
        <v>0</v>
      </c>
      <c r="L76" s="31">
        <f t="shared" si="15"/>
        <v>0</v>
      </c>
      <c r="M76" s="31"/>
      <c r="N76" s="31"/>
      <c r="O76" s="43">
        <f>SUM(O74:O75)</f>
        <v>1974</v>
      </c>
      <c r="P76" s="31"/>
    </row>
    <row r="77" s="2" customFormat="1" customHeight="1" spans="1:22">
      <c r="A77" s="18" t="s">
        <v>130</v>
      </c>
      <c r="B77" s="18" t="s">
        <v>131</v>
      </c>
      <c r="C77" s="18" t="s">
        <v>132</v>
      </c>
      <c r="D77" s="18" t="s">
        <v>133</v>
      </c>
      <c r="E77" s="80" t="s">
        <v>134</v>
      </c>
      <c r="F77" s="81">
        <v>94788</v>
      </c>
      <c r="G77" s="81"/>
      <c r="H77" s="81">
        <v>3150</v>
      </c>
      <c r="I77" s="81">
        <v>70</v>
      </c>
      <c r="J77" s="81"/>
      <c r="K77" s="46"/>
      <c r="L77" s="46"/>
      <c r="M77" s="46"/>
      <c r="N77" s="46"/>
      <c r="O77" s="46">
        <v>3150</v>
      </c>
      <c r="P77" s="82"/>
      <c r="Q77" s="3"/>
      <c r="R77" s="3" t="s">
        <v>72</v>
      </c>
      <c r="S77" s="3" t="s">
        <v>78</v>
      </c>
      <c r="T77" s="3" t="s">
        <v>73</v>
      </c>
      <c r="U77" s="3" t="s">
        <v>79</v>
      </c>
      <c r="V77" s="3"/>
    </row>
    <row r="78" s="2" customFormat="1" customHeight="1" spans="1:22">
      <c r="A78" s="28"/>
      <c r="B78" s="28"/>
      <c r="C78" s="28"/>
      <c r="D78" s="28"/>
      <c r="E78" s="28"/>
      <c r="F78" s="30">
        <v>94788</v>
      </c>
      <c r="G78" s="30"/>
      <c r="H78" s="30">
        <f>SUM(H77:H77)</f>
        <v>3150</v>
      </c>
      <c r="I78" s="30">
        <f>SUM(I77:I77)</f>
        <v>70</v>
      </c>
      <c r="J78" s="30"/>
      <c r="K78" s="51"/>
      <c r="L78" s="51"/>
      <c r="M78" s="51"/>
      <c r="N78" s="51"/>
      <c r="O78" s="51">
        <f>SUM(O77:O77)</f>
        <v>3150</v>
      </c>
      <c r="P78" s="83">
        <f>SUM(P77:P77)</f>
        <v>0</v>
      </c>
      <c r="Q78" s="3"/>
      <c r="R78" s="39">
        <f>B82</f>
        <v>4892</v>
      </c>
      <c r="S78" s="39">
        <f>C82</f>
        <v>7127</v>
      </c>
      <c r="T78" s="39">
        <f>E82</f>
        <v>8444</v>
      </c>
      <c r="U78" s="39">
        <f>F82</f>
        <v>1260</v>
      </c>
      <c r="V78" s="3">
        <f>U78+T78+S78+R78</f>
        <v>21723</v>
      </c>
    </row>
    <row r="79" s="2" customFormat="1" customHeight="1" spans="1:22">
      <c r="A79" s="18" t="s">
        <v>135</v>
      </c>
      <c r="B79" s="18" t="s">
        <v>39</v>
      </c>
      <c r="C79" s="18" t="s">
        <v>136</v>
      </c>
      <c r="D79" s="18" t="s">
        <v>137</v>
      </c>
      <c r="E79" s="80" t="s">
        <v>134</v>
      </c>
      <c r="F79" s="81">
        <v>35770</v>
      </c>
      <c r="G79" s="81"/>
      <c r="H79" s="81">
        <v>1260</v>
      </c>
      <c r="I79" s="81"/>
      <c r="J79" s="81"/>
      <c r="K79" s="46"/>
      <c r="L79" s="46"/>
      <c r="M79" s="46"/>
      <c r="N79" s="46"/>
      <c r="O79" s="46">
        <v>1260</v>
      </c>
      <c r="P79" s="82"/>
      <c r="Q79" s="39"/>
      <c r="R79" s="39">
        <v>2026.3</v>
      </c>
      <c r="S79" s="39"/>
      <c r="T79" s="39"/>
      <c r="U79" s="39"/>
      <c r="V79" s="39"/>
    </row>
    <row r="80" s="2" customFormat="1" customHeight="1" spans="1:22">
      <c r="A80" s="28"/>
      <c r="B80" s="28"/>
      <c r="C80" s="28"/>
      <c r="D80" s="28"/>
      <c r="E80" s="28"/>
      <c r="F80" s="30">
        <f>SUM(F79)</f>
        <v>35770</v>
      </c>
      <c r="G80" s="30"/>
      <c r="H80" s="30">
        <f>SUM(H79:H79)</f>
        <v>1260</v>
      </c>
      <c r="I80" s="30">
        <f>SUM(I79:I79)</f>
        <v>0</v>
      </c>
      <c r="J80" s="30"/>
      <c r="K80" s="51"/>
      <c r="L80" s="51"/>
      <c r="M80" s="51"/>
      <c r="N80" s="51"/>
      <c r="O80" s="51">
        <f>SUM(O79:O79)</f>
        <v>1260</v>
      </c>
      <c r="P80" s="83">
        <f>SUM(P79:P79)</f>
        <v>0</v>
      </c>
      <c r="Q80" s="39" t="s">
        <v>83</v>
      </c>
      <c r="R80" s="39" t="s">
        <v>84</v>
      </c>
      <c r="S80" s="39" t="s">
        <v>85</v>
      </c>
      <c r="T80" s="71" t="s">
        <v>86</v>
      </c>
      <c r="U80" s="39"/>
      <c r="V80" s="39"/>
    </row>
    <row r="81" s="2" customFormat="1" customHeight="1" spans="1:22">
      <c r="A81" s="60" t="s">
        <v>68</v>
      </c>
      <c r="B81" s="60" t="s">
        <v>69</v>
      </c>
      <c r="C81" s="61">
        <f>H73+H70+H65+H61+H58+H56</f>
        <v>12019</v>
      </c>
      <c r="D81" s="61" t="s">
        <v>70</v>
      </c>
      <c r="E81" s="60">
        <f>H80+H78+H76+H68+H53</f>
        <v>9704</v>
      </c>
      <c r="F81" s="62"/>
      <c r="G81" s="60" t="s">
        <v>71</v>
      </c>
      <c r="H81" s="63">
        <f>C81+E81</f>
        <v>21723</v>
      </c>
      <c r="Q81" s="39" t="s">
        <v>69</v>
      </c>
      <c r="R81" s="39">
        <f>C81</f>
        <v>12019</v>
      </c>
      <c r="S81" s="72">
        <f>R81/R83</f>
        <v>0.587352783071886</v>
      </c>
      <c r="T81" s="39">
        <v>15715</v>
      </c>
      <c r="U81" s="39">
        <f t="shared" ref="U81:U83" si="16">R81-T81</f>
        <v>-3696</v>
      </c>
      <c r="V81" s="73">
        <f>U81/T81</f>
        <v>-0.235189309576837</v>
      </c>
    </row>
    <row r="82" s="2" customFormat="1" customHeight="1" spans="1:22">
      <c r="A82" s="60" t="s">
        <v>72</v>
      </c>
      <c r="B82" s="60">
        <f>H56+H65</f>
        <v>4892</v>
      </c>
      <c r="C82" s="61">
        <f>H58+H61+H70+H73</f>
        <v>7127</v>
      </c>
      <c r="D82" s="66" t="s">
        <v>73</v>
      </c>
      <c r="E82" s="67">
        <f>H78+H76+H68+H53</f>
        <v>8444</v>
      </c>
      <c r="F82" s="60">
        <f>H80</f>
        <v>1260</v>
      </c>
      <c r="G82" s="68"/>
      <c r="H82" s="69"/>
      <c r="Q82" s="39" t="s">
        <v>70</v>
      </c>
      <c r="R82" s="39">
        <f>E82</f>
        <v>8444</v>
      </c>
      <c r="S82" s="72">
        <f>R82/R83</f>
        <v>0.412647216928114</v>
      </c>
      <c r="T82" s="39">
        <v>7796</v>
      </c>
      <c r="U82" s="39">
        <f t="shared" si="16"/>
        <v>648</v>
      </c>
      <c r="V82" s="73">
        <f>U82/T82</f>
        <v>0.0831195484864033</v>
      </c>
    </row>
    <row r="83" s="2" customFormat="1" customHeight="1" spans="1:22">
      <c r="A83" s="18" t="s">
        <v>138</v>
      </c>
      <c r="B83" s="18" t="s">
        <v>139</v>
      </c>
      <c r="C83" s="18" t="s">
        <v>140</v>
      </c>
      <c r="D83" s="18" t="s">
        <v>141</v>
      </c>
      <c r="E83" s="80" t="s">
        <v>142</v>
      </c>
      <c r="F83" s="81">
        <v>21345</v>
      </c>
      <c r="G83" s="81" t="s">
        <v>143</v>
      </c>
      <c r="H83" s="81">
        <v>662</v>
      </c>
      <c r="I83" s="81">
        <v>19</v>
      </c>
      <c r="J83" s="81"/>
      <c r="K83" s="46"/>
      <c r="L83" s="46"/>
      <c r="M83" s="46"/>
      <c r="N83" s="46"/>
      <c r="O83" s="46">
        <v>662</v>
      </c>
      <c r="P83" s="82"/>
      <c r="Q83" s="39"/>
      <c r="R83" s="39">
        <f>SUM(R81:R82)</f>
        <v>20463</v>
      </c>
      <c r="S83" s="39"/>
      <c r="T83" s="39">
        <f>SUM(T81:T82)</f>
        <v>23511</v>
      </c>
      <c r="U83" s="39">
        <f t="shared" si="16"/>
        <v>-3048</v>
      </c>
      <c r="V83" s="39"/>
    </row>
    <row r="84" s="2" customFormat="1" customHeight="1" spans="1:22">
      <c r="A84" s="28"/>
      <c r="B84" s="28"/>
      <c r="C84" s="28"/>
      <c r="D84" s="28"/>
      <c r="E84" s="28"/>
      <c r="F84" s="30">
        <f>SUM(F83)</f>
        <v>21345</v>
      </c>
      <c r="G84" s="30"/>
      <c r="H84" s="30">
        <f>SUM(H83:H83)</f>
        <v>662</v>
      </c>
      <c r="I84" s="30">
        <f>SUM(I83:I83)</f>
        <v>19</v>
      </c>
      <c r="J84" s="30"/>
      <c r="K84" s="51"/>
      <c r="L84" s="51"/>
      <c r="M84" s="51"/>
      <c r="N84" s="51"/>
      <c r="O84" s="51">
        <f>SUM(O83:O83)</f>
        <v>662</v>
      </c>
      <c r="P84" s="83">
        <f>SUM(P83:P83)</f>
        <v>0</v>
      </c>
    </row>
    <row r="85" s="2" customFormat="1" customHeight="1" spans="1:22">
      <c r="A85" s="18" t="s">
        <v>144</v>
      </c>
      <c r="B85" s="18" t="s">
        <v>39</v>
      </c>
      <c r="C85" s="18" t="s">
        <v>145</v>
      </c>
      <c r="D85" s="18" t="s">
        <v>146</v>
      </c>
      <c r="E85" s="80" t="s">
        <v>134</v>
      </c>
      <c r="F85" s="81">
        <v>36935</v>
      </c>
      <c r="G85" s="81"/>
      <c r="H85" s="81">
        <v>1050</v>
      </c>
      <c r="I85" s="81"/>
      <c r="J85" s="81"/>
      <c r="K85" s="46"/>
      <c r="L85" s="46"/>
      <c r="M85" s="46"/>
      <c r="N85" s="46"/>
      <c r="O85" s="46">
        <v>1050</v>
      </c>
      <c r="P85" s="82"/>
    </row>
    <row r="86" s="2" customFormat="1" customHeight="1" spans="1:22">
      <c r="A86" s="28"/>
      <c r="B86" s="28"/>
      <c r="C86" s="28"/>
      <c r="D86" s="28"/>
      <c r="E86" s="28"/>
      <c r="F86" s="30">
        <f t="shared" ref="F86:I86" si="17">SUM(F85:F85)</f>
        <v>36935</v>
      </c>
      <c r="G86" s="30"/>
      <c r="H86" s="30">
        <f t="shared" si="17"/>
        <v>1050</v>
      </c>
      <c r="I86" s="30">
        <f t="shared" si="17"/>
        <v>0</v>
      </c>
      <c r="J86" s="30"/>
      <c r="K86" s="51"/>
      <c r="L86" s="51"/>
      <c r="M86" s="51"/>
      <c r="N86" s="51"/>
      <c r="O86" s="51">
        <f>SUM(O85:O85)</f>
        <v>1050</v>
      </c>
      <c r="P86" s="83">
        <f>SUM(P85:P85)</f>
        <v>0</v>
      </c>
    </row>
    <row r="87" s="2" customFormat="1" customHeight="1" spans="1:22">
      <c r="A87" s="74" t="s">
        <v>147</v>
      </c>
      <c r="B87" s="74" t="s">
        <v>27</v>
      </c>
      <c r="C87" s="75" t="s">
        <v>148</v>
      </c>
      <c r="D87" s="75" t="s">
        <v>149</v>
      </c>
      <c r="E87" s="74" t="s">
        <v>150</v>
      </c>
      <c r="F87" s="23">
        <v>27684</v>
      </c>
      <c r="G87" s="23" t="s">
        <v>151</v>
      </c>
      <c r="H87" s="23">
        <v>890</v>
      </c>
      <c r="I87" s="23">
        <v>13</v>
      </c>
      <c r="J87" s="18"/>
      <c r="K87" s="18"/>
      <c r="L87" s="18"/>
      <c r="M87" s="18"/>
      <c r="N87" s="18"/>
      <c r="O87" s="23">
        <v>890</v>
      </c>
      <c r="P87" s="76"/>
    </row>
    <row r="88" s="2" customFormat="1" customHeight="1" spans="1:22">
      <c r="A88" s="49"/>
      <c r="B88" s="49"/>
      <c r="C88" s="77"/>
      <c r="D88" s="77"/>
      <c r="E88" s="49"/>
      <c r="F88" s="23">
        <v>27626</v>
      </c>
      <c r="G88" s="23" t="s">
        <v>152</v>
      </c>
      <c r="H88" s="23">
        <v>910</v>
      </c>
      <c r="I88" s="23">
        <v>13</v>
      </c>
      <c r="J88" s="24"/>
      <c r="K88" s="24"/>
      <c r="L88" s="24"/>
      <c r="M88" s="24"/>
      <c r="N88" s="24"/>
      <c r="O88" s="23">
        <v>910</v>
      </c>
      <c r="P88" s="27"/>
    </row>
    <row r="89" s="2" customFormat="1" customHeight="1" spans="1:22">
      <c r="A89" s="28"/>
      <c r="B89" s="28"/>
      <c r="C89" s="28"/>
      <c r="D89" s="28"/>
      <c r="E89" s="28"/>
      <c r="F89" s="43">
        <f t="shared" ref="F89:I89" si="18">SUM(F87:F88)</f>
        <v>55310</v>
      </c>
      <c r="G89" s="43"/>
      <c r="H89" s="43">
        <f t="shared" si="18"/>
        <v>1800</v>
      </c>
      <c r="I89" s="43">
        <f t="shared" si="18"/>
        <v>26</v>
      </c>
      <c r="J89" s="31">
        <f t="shared" ref="J89:L89" si="19">SUM(J88)</f>
        <v>0</v>
      </c>
      <c r="K89" s="31">
        <f t="shared" si="19"/>
        <v>0</v>
      </c>
      <c r="L89" s="31">
        <f t="shared" si="19"/>
        <v>0</v>
      </c>
      <c r="M89" s="31"/>
      <c r="N89" s="31"/>
      <c r="O89" s="43">
        <f>SUM(O87:O88)</f>
        <v>1800</v>
      </c>
      <c r="P89" s="31"/>
    </row>
    <row r="90" s="2" customFormat="1" customHeight="1" spans="1:22">
      <c r="A90" s="33" t="s">
        <v>153</v>
      </c>
      <c r="B90" s="34" t="s">
        <v>75</v>
      </c>
      <c r="C90" s="35" t="s">
        <v>24</v>
      </c>
      <c r="D90" s="23" t="s">
        <v>154</v>
      </c>
      <c r="E90" s="23"/>
      <c r="F90" s="23"/>
      <c r="G90" s="23"/>
      <c r="H90" s="23">
        <v>721</v>
      </c>
      <c r="I90" s="23">
        <v>4</v>
      </c>
      <c r="J90" s="24"/>
      <c r="K90" s="24"/>
      <c r="L90" s="24"/>
      <c r="M90" s="24"/>
      <c r="N90" s="24"/>
      <c r="O90" s="23">
        <v>721</v>
      </c>
      <c r="P90" s="25">
        <v>39332.1</v>
      </c>
    </row>
    <row r="91" s="2" customFormat="1" customHeight="1" spans="1:22">
      <c r="A91" s="36"/>
      <c r="B91" s="37"/>
      <c r="C91" s="38"/>
      <c r="D91" s="23" t="s">
        <v>155</v>
      </c>
      <c r="E91" s="23"/>
      <c r="F91" s="23"/>
      <c r="G91" s="23"/>
      <c r="H91" s="23">
        <v>795</v>
      </c>
      <c r="I91" s="23">
        <v>6</v>
      </c>
      <c r="J91" s="24"/>
      <c r="K91" s="24"/>
      <c r="L91" s="24"/>
      <c r="M91" s="24"/>
      <c r="N91" s="24"/>
      <c r="O91" s="23">
        <v>795</v>
      </c>
      <c r="P91" s="25">
        <v>47773.4</v>
      </c>
    </row>
    <row r="92" s="2" customFormat="1" customHeight="1" spans="1:22">
      <c r="A92" s="36"/>
      <c r="B92" s="37"/>
      <c r="C92" s="38"/>
      <c r="D92" s="23" t="s">
        <v>156</v>
      </c>
      <c r="E92" s="23"/>
      <c r="F92" s="23"/>
      <c r="G92" s="23"/>
      <c r="H92" s="23">
        <v>100</v>
      </c>
      <c r="I92" s="23">
        <v>5</v>
      </c>
      <c r="J92" s="24"/>
      <c r="K92" s="24"/>
      <c r="L92" s="24"/>
      <c r="M92" s="24"/>
      <c r="N92" s="24"/>
      <c r="O92" s="23">
        <v>100</v>
      </c>
      <c r="P92" s="25">
        <v>5982.9</v>
      </c>
    </row>
    <row r="93" s="2" customFormat="1" customHeight="1" spans="1:22">
      <c r="A93" s="40"/>
      <c r="B93" s="41"/>
      <c r="C93" s="42"/>
      <c r="D93" s="41"/>
      <c r="E93" s="43"/>
      <c r="F93" s="43"/>
      <c r="G93" s="43"/>
      <c r="H93" s="43">
        <f>SUM(H90:H92)</f>
        <v>1616</v>
      </c>
      <c r="I93" s="43">
        <f>SUM(I90:I92)</f>
        <v>15</v>
      </c>
      <c r="J93" s="43"/>
      <c r="K93" s="43"/>
      <c r="L93" s="43"/>
      <c r="M93" s="43"/>
      <c r="N93" s="43"/>
      <c r="O93" s="43">
        <f>SUM(O90:O92)</f>
        <v>1616</v>
      </c>
      <c r="P93" s="43">
        <f>SUM(P90:P92)</f>
        <v>93088.4</v>
      </c>
    </row>
    <row r="94" s="2" customFormat="1" customHeight="1" spans="1:22">
      <c r="A94" s="23" t="s">
        <v>157</v>
      </c>
      <c r="B94" s="23" t="s">
        <v>105</v>
      </c>
      <c r="C94" s="23" t="s">
        <v>106</v>
      </c>
      <c r="D94" s="23" t="s">
        <v>158</v>
      </c>
      <c r="E94" s="23" t="s">
        <v>108</v>
      </c>
      <c r="F94" s="23"/>
      <c r="G94" s="23"/>
      <c r="H94" s="23">
        <v>1575</v>
      </c>
      <c r="I94" s="23">
        <v>6</v>
      </c>
      <c r="J94" s="23"/>
      <c r="K94" s="23"/>
      <c r="L94" s="23"/>
      <c r="M94" s="23"/>
      <c r="N94" s="23"/>
      <c r="O94" s="23">
        <v>1575</v>
      </c>
      <c r="P94" s="84">
        <v>66764</v>
      </c>
    </row>
    <row r="95" s="2" customFormat="1" customHeight="1" spans="1:22">
      <c r="A95" s="23"/>
      <c r="B95" s="23"/>
      <c r="C95" s="23"/>
      <c r="D95" s="23" t="s">
        <v>159</v>
      </c>
      <c r="E95" s="23" t="s">
        <v>111</v>
      </c>
      <c r="F95" s="23"/>
      <c r="G95" s="23"/>
      <c r="H95" s="23">
        <v>1235</v>
      </c>
      <c r="I95" s="23">
        <v>5</v>
      </c>
      <c r="J95" s="23"/>
      <c r="K95" s="23"/>
      <c r="L95" s="23"/>
      <c r="M95" s="23"/>
      <c r="N95" s="23"/>
      <c r="O95" s="23">
        <v>1235</v>
      </c>
      <c r="P95" s="84">
        <v>52306.8</v>
      </c>
    </row>
    <row r="96" s="2" customFormat="1" customHeight="1" spans="1:22">
      <c r="A96" s="28"/>
      <c r="B96" s="28"/>
      <c r="C96" s="28"/>
      <c r="D96" s="28"/>
      <c r="E96" s="28"/>
      <c r="F96" s="28"/>
      <c r="G96" s="28"/>
      <c r="H96" s="28">
        <f>SUM(H94:H95)</f>
        <v>2810</v>
      </c>
      <c r="I96" s="28"/>
      <c r="J96" s="28"/>
      <c r="K96" s="28"/>
      <c r="L96" s="28"/>
      <c r="M96" s="28"/>
      <c r="N96" s="28"/>
      <c r="O96" s="28">
        <f>SUM(O94:O95)</f>
        <v>2810</v>
      </c>
      <c r="P96" s="85">
        <f>SUM(P94:P95)</f>
        <v>119070.8</v>
      </c>
    </row>
    <row r="97" s="2" customFormat="1" customHeight="1" spans="1:22">
      <c r="A97" s="18" t="s">
        <v>160</v>
      </c>
      <c r="B97" s="18" t="s">
        <v>39</v>
      </c>
      <c r="C97" s="18" t="s">
        <v>145</v>
      </c>
      <c r="D97" s="18" t="s">
        <v>161</v>
      </c>
      <c r="E97" s="80" t="s">
        <v>134</v>
      </c>
      <c r="F97" s="81">
        <v>35030</v>
      </c>
      <c r="G97" s="81"/>
      <c r="H97" s="81">
        <v>1150</v>
      </c>
      <c r="I97" s="81"/>
      <c r="J97" s="81"/>
      <c r="K97" s="46"/>
      <c r="L97" s="46"/>
      <c r="M97" s="46"/>
      <c r="N97" s="46"/>
      <c r="O97" s="46">
        <v>1150</v>
      </c>
      <c r="P97" s="82"/>
      <c r="R97" s="39" t="s">
        <v>72</v>
      </c>
      <c r="S97" s="39" t="s">
        <v>78</v>
      </c>
      <c r="T97" s="39" t="s">
        <v>73</v>
      </c>
      <c r="U97" s="39" t="s">
        <v>79</v>
      </c>
      <c r="V97" s="3"/>
    </row>
    <row r="98" s="2" customFormat="1" customHeight="1" spans="1:22">
      <c r="A98" s="28"/>
      <c r="B98" s="28"/>
      <c r="C98" s="28"/>
      <c r="D98" s="28"/>
      <c r="E98" s="28"/>
      <c r="F98" s="30">
        <f t="shared" ref="F98:I98" si="20">SUM(F97:F97)</f>
        <v>35030</v>
      </c>
      <c r="G98" s="30"/>
      <c r="H98" s="30">
        <f t="shared" si="20"/>
        <v>1150</v>
      </c>
      <c r="I98" s="30">
        <f t="shared" si="20"/>
        <v>0</v>
      </c>
      <c r="J98" s="30"/>
      <c r="K98" s="51"/>
      <c r="L98" s="51"/>
      <c r="M98" s="51"/>
      <c r="N98" s="51"/>
      <c r="O98" s="51">
        <f>SUM(O97:O97)</f>
        <v>1150</v>
      </c>
      <c r="P98" s="83">
        <f>SUM(P97:P97)</f>
        <v>0</v>
      </c>
      <c r="R98" s="39">
        <v>2810</v>
      </c>
      <c r="S98" s="88">
        <v>3536</v>
      </c>
      <c r="T98" s="39">
        <v>2462</v>
      </c>
      <c r="U98" s="39">
        <v>2200</v>
      </c>
      <c r="V98" s="3">
        <f>U98+T98+S98+R98</f>
        <v>11008</v>
      </c>
    </row>
    <row r="99" s="2" customFormat="1" customHeight="1" spans="1:22">
      <c r="A99" s="23" t="s">
        <v>162</v>
      </c>
      <c r="B99" s="23" t="s">
        <v>100</v>
      </c>
      <c r="C99" s="23" t="s">
        <v>24</v>
      </c>
      <c r="D99" s="23" t="s">
        <v>163</v>
      </c>
      <c r="E99" s="23"/>
      <c r="F99" s="23"/>
      <c r="G99" s="23"/>
      <c r="H99" s="23">
        <v>1620</v>
      </c>
      <c r="I99" s="23">
        <v>6</v>
      </c>
      <c r="J99" s="23"/>
      <c r="K99" s="23"/>
      <c r="L99" s="23"/>
      <c r="M99" s="23"/>
      <c r="N99" s="23"/>
      <c r="O99" s="23">
        <v>1620</v>
      </c>
      <c r="P99" s="89">
        <v>92601.6</v>
      </c>
    </row>
    <row r="100" s="2" customFormat="1" customHeight="1" spans="1:22">
      <c r="A100" s="23"/>
      <c r="B100" s="23"/>
      <c r="C100" s="23"/>
      <c r="D100" s="23" t="s">
        <v>164</v>
      </c>
      <c r="E100" s="23"/>
      <c r="F100" s="23"/>
      <c r="G100" s="23"/>
      <c r="H100" s="23">
        <v>300</v>
      </c>
      <c r="I100" s="23">
        <v>1</v>
      </c>
      <c r="J100" s="23"/>
      <c r="K100" s="23"/>
      <c r="L100" s="23"/>
      <c r="M100" s="23"/>
      <c r="N100" s="23"/>
      <c r="O100" s="23">
        <v>300</v>
      </c>
      <c r="P100" s="89">
        <v>9831.3</v>
      </c>
    </row>
    <row r="101" s="2" customFormat="1" customHeight="1" spans="1:22">
      <c r="A101" s="28"/>
      <c r="B101" s="28"/>
      <c r="C101" s="28"/>
      <c r="D101" s="28"/>
      <c r="E101" s="28"/>
      <c r="F101" s="28"/>
      <c r="G101" s="28"/>
      <c r="H101" s="28">
        <f>SUM(H99:H100)</f>
        <v>1920</v>
      </c>
      <c r="I101" s="28"/>
      <c r="J101" s="28"/>
      <c r="K101" s="28"/>
      <c r="L101" s="28"/>
      <c r="M101" s="28"/>
      <c r="N101" s="28"/>
      <c r="O101" s="28">
        <f>SUM(O99:O100)</f>
        <v>1920</v>
      </c>
      <c r="P101" s="85">
        <f>SUM(P99:P100)</f>
        <v>102432.9</v>
      </c>
      <c r="Q101" s="90" t="s">
        <v>83</v>
      </c>
      <c r="R101" s="90" t="s">
        <v>84</v>
      </c>
      <c r="S101" s="90" t="s">
        <v>85</v>
      </c>
      <c r="T101" s="90">
        <v>2025.3</v>
      </c>
      <c r="U101" s="90"/>
      <c r="V101" s="90"/>
    </row>
    <row r="102" s="2" customFormat="1" customHeight="1" spans="1:22">
      <c r="A102" s="60" t="s">
        <v>68</v>
      </c>
      <c r="B102" s="60" t="s">
        <v>69</v>
      </c>
      <c r="C102" s="61">
        <f>H96+H93+H101</f>
        <v>6346</v>
      </c>
      <c r="D102" s="61" t="s">
        <v>70</v>
      </c>
      <c r="E102" s="60">
        <f>H98+H89+H84+H86</f>
        <v>4662</v>
      </c>
      <c r="F102" s="62"/>
      <c r="G102" s="60" t="s">
        <v>71</v>
      </c>
      <c r="H102" s="63">
        <f>C102+E102</f>
        <v>11008</v>
      </c>
      <c r="Q102" s="90" t="s">
        <v>69</v>
      </c>
      <c r="R102" s="90">
        <f>C102</f>
        <v>6346</v>
      </c>
      <c r="S102" s="72">
        <f>R102/R104</f>
        <v>0.576489825581395</v>
      </c>
      <c r="T102" s="90">
        <f>R81</f>
        <v>12019</v>
      </c>
      <c r="U102" s="39">
        <f>R102-T102</f>
        <v>-5673</v>
      </c>
      <c r="V102" s="73">
        <f>U102/T102</f>
        <v>-0.472002662451119</v>
      </c>
    </row>
    <row r="103" s="2" customFormat="1" customHeight="1" spans="1:22">
      <c r="A103" s="60" t="s">
        <v>72</v>
      </c>
      <c r="B103" s="60">
        <f>H96</f>
        <v>2810</v>
      </c>
      <c r="C103" s="61">
        <f>H101+H93</f>
        <v>3536</v>
      </c>
      <c r="D103" s="66" t="s">
        <v>73</v>
      </c>
      <c r="E103" s="67">
        <f>H84+H89</f>
        <v>2462</v>
      </c>
      <c r="F103" s="60">
        <f>H98+H86</f>
        <v>2200</v>
      </c>
      <c r="G103" s="68"/>
      <c r="H103" s="69"/>
      <c r="Q103" s="90" t="s">
        <v>70</v>
      </c>
      <c r="R103" s="90">
        <f>E102</f>
        <v>4662</v>
      </c>
      <c r="S103" s="72">
        <f>R103/R104</f>
        <v>0.423510174418605</v>
      </c>
      <c r="T103" s="90">
        <f>R82</f>
        <v>8444</v>
      </c>
      <c r="U103" s="39">
        <f>R103-T103</f>
        <v>-3782</v>
      </c>
      <c r="V103" s="73">
        <f>U103/T103</f>
        <v>-0.44789199431549</v>
      </c>
    </row>
    <row r="104" s="2" customFormat="1" customHeight="1" spans="1:22">
      <c r="A104" s="18" t="s">
        <v>165</v>
      </c>
      <c r="B104" s="18"/>
      <c r="C104" s="18" t="s">
        <v>166</v>
      </c>
      <c r="D104" s="18" t="s">
        <v>167</v>
      </c>
      <c r="E104" s="80" t="s">
        <v>168</v>
      </c>
      <c r="F104" s="81"/>
      <c r="G104" s="81"/>
      <c r="H104" s="81">
        <v>500</v>
      </c>
      <c r="I104" s="81"/>
      <c r="J104" s="81"/>
      <c r="K104" s="46"/>
      <c r="L104" s="46"/>
      <c r="M104" s="46"/>
      <c r="N104" s="46"/>
      <c r="O104" s="46">
        <v>500</v>
      </c>
      <c r="P104" s="82"/>
      <c r="Q104" s="90"/>
      <c r="R104" s="90">
        <f>SUM(R102:R103)</f>
        <v>11008</v>
      </c>
      <c r="S104" s="90"/>
      <c r="T104" s="90">
        <f>SUM(T102:T103)</f>
        <v>20463</v>
      </c>
      <c r="U104" s="90">
        <v>-3048</v>
      </c>
      <c r="V104" s="90"/>
    </row>
    <row r="105" s="2" customFormat="1" customHeight="1" spans="1:22">
      <c r="A105" s="28"/>
      <c r="B105" s="28"/>
      <c r="C105" s="28"/>
      <c r="D105" s="28"/>
      <c r="E105" s="28"/>
      <c r="F105" s="30">
        <f t="shared" ref="F105:I105" si="21">SUM(F104:F104)</f>
        <v>0</v>
      </c>
      <c r="G105" s="30"/>
      <c r="H105" s="30">
        <f t="shared" si="21"/>
        <v>500</v>
      </c>
      <c r="I105" s="30">
        <f t="shared" si="21"/>
        <v>0</v>
      </c>
      <c r="J105" s="30"/>
      <c r="K105" s="51"/>
      <c r="L105" s="51"/>
      <c r="M105" s="51"/>
      <c r="N105" s="51"/>
      <c r="O105" s="51">
        <f>SUM(O104:O104)</f>
        <v>500</v>
      </c>
      <c r="P105" s="83">
        <f>SUM(P104:P104)</f>
        <v>0</v>
      </c>
    </row>
    <row r="106" s="2" customFormat="1" customHeight="1" spans="1:22">
      <c r="A106" s="33" t="s">
        <v>169</v>
      </c>
      <c r="B106" s="34" t="s">
        <v>27</v>
      </c>
      <c r="C106" s="35" t="s">
        <v>170</v>
      </c>
      <c r="D106" s="34" t="s">
        <v>171</v>
      </c>
      <c r="E106" s="34" t="s">
        <v>172</v>
      </c>
      <c r="F106" s="23">
        <v>22440</v>
      </c>
      <c r="G106" s="23" t="s">
        <v>173</v>
      </c>
      <c r="H106" s="23">
        <v>800</v>
      </c>
      <c r="I106" s="23">
        <v>16</v>
      </c>
      <c r="J106" s="24"/>
      <c r="K106" s="24"/>
      <c r="L106" s="24"/>
      <c r="M106" s="24"/>
      <c r="N106" s="24"/>
      <c r="O106" s="23">
        <v>800</v>
      </c>
      <c r="P106" s="25"/>
    </row>
    <row r="107" s="2" customFormat="1" customHeight="1" spans="1:22">
      <c r="A107" s="36"/>
      <c r="B107" s="37"/>
      <c r="C107" s="38"/>
      <c r="D107" s="37"/>
      <c r="E107" s="37"/>
      <c r="F107" s="23">
        <v>21991</v>
      </c>
      <c r="G107" s="23" t="s">
        <v>174</v>
      </c>
      <c r="H107" s="23">
        <v>800</v>
      </c>
      <c r="I107" s="23">
        <v>16</v>
      </c>
      <c r="J107" s="24"/>
      <c r="K107" s="24"/>
      <c r="L107" s="24"/>
      <c r="M107" s="24"/>
      <c r="N107" s="24"/>
      <c r="O107" s="23">
        <v>800</v>
      </c>
      <c r="P107" s="25"/>
    </row>
    <row r="108" s="2" customFormat="1" customHeight="1" spans="1:22">
      <c r="A108" s="36"/>
      <c r="B108" s="37"/>
      <c r="C108" s="38"/>
      <c r="D108" s="37"/>
      <c r="E108" s="37"/>
      <c r="F108" s="23">
        <v>22160</v>
      </c>
      <c r="G108" s="23" t="s">
        <v>175</v>
      </c>
      <c r="H108" s="23">
        <v>800</v>
      </c>
      <c r="I108" s="23">
        <v>16</v>
      </c>
      <c r="J108" s="24"/>
      <c r="K108" s="24"/>
      <c r="L108" s="24"/>
      <c r="M108" s="24"/>
      <c r="N108" s="24"/>
      <c r="O108" s="23">
        <v>800</v>
      </c>
      <c r="P108" s="25"/>
    </row>
    <row r="109" s="2" customFormat="1" customHeight="1" spans="1:22">
      <c r="A109" s="36"/>
      <c r="B109" s="37"/>
      <c r="C109" s="38"/>
      <c r="D109" s="37"/>
      <c r="E109" s="37"/>
      <c r="F109" s="23">
        <v>22343</v>
      </c>
      <c r="G109" s="23" t="s">
        <v>176</v>
      </c>
      <c r="H109" s="23">
        <v>800</v>
      </c>
      <c r="I109" s="23">
        <v>16</v>
      </c>
      <c r="J109" s="24"/>
      <c r="K109" s="24"/>
      <c r="L109" s="24"/>
      <c r="M109" s="24"/>
      <c r="N109" s="24"/>
      <c r="O109" s="23">
        <v>800</v>
      </c>
      <c r="P109" s="25"/>
    </row>
    <row r="110" s="2" customFormat="1" customHeight="1" spans="1:22">
      <c r="A110" s="36"/>
      <c r="B110" s="37"/>
      <c r="C110" s="38"/>
      <c r="D110" s="49"/>
      <c r="E110" s="49"/>
      <c r="F110" s="23">
        <v>22523</v>
      </c>
      <c r="G110" s="23" t="s">
        <v>177</v>
      </c>
      <c r="H110" s="23">
        <v>800</v>
      </c>
      <c r="I110" s="23">
        <v>16</v>
      </c>
      <c r="J110" s="24"/>
      <c r="K110" s="24"/>
      <c r="L110" s="24"/>
      <c r="M110" s="24"/>
      <c r="N110" s="24"/>
      <c r="O110" s="23">
        <v>800</v>
      </c>
      <c r="P110" s="25"/>
    </row>
    <row r="111" s="2" customFormat="1" customHeight="1" spans="1:22">
      <c r="A111" s="40"/>
      <c r="B111" s="41"/>
      <c r="C111" s="42"/>
      <c r="D111" s="41"/>
      <c r="E111" s="43"/>
      <c r="F111" s="43">
        <f t="shared" ref="F111:I111" si="22">SUM(F106:F110)</f>
        <v>111457</v>
      </c>
      <c r="G111" s="43"/>
      <c r="H111" s="43">
        <f t="shared" si="22"/>
        <v>4000</v>
      </c>
      <c r="I111" s="43">
        <f t="shared" si="22"/>
        <v>80</v>
      </c>
      <c r="J111" s="43"/>
      <c r="K111" s="43"/>
      <c r="L111" s="43"/>
      <c r="M111" s="43"/>
      <c r="N111" s="43"/>
      <c r="O111" s="43">
        <f>SUM(O106:O110)</f>
        <v>4000</v>
      </c>
      <c r="P111" s="43">
        <f>SUM(P106:P110)</f>
        <v>0</v>
      </c>
    </row>
  </sheetData>
  <mergeCells count="88">
    <mergeCell ref="A1:P1"/>
    <mergeCell ref="K2:P2"/>
    <mergeCell ref="A2:A3"/>
    <mergeCell ref="A4:A6"/>
    <mergeCell ref="A8:A12"/>
    <mergeCell ref="A18:A19"/>
    <mergeCell ref="A29:A30"/>
    <mergeCell ref="A32:A38"/>
    <mergeCell ref="A44:A47"/>
    <mergeCell ref="A51:A52"/>
    <mergeCell ref="A54:A55"/>
    <mergeCell ref="A59:A60"/>
    <mergeCell ref="A62:A64"/>
    <mergeCell ref="A66:A67"/>
    <mergeCell ref="A71:A72"/>
    <mergeCell ref="A74:A75"/>
    <mergeCell ref="A87:A88"/>
    <mergeCell ref="A90:A92"/>
    <mergeCell ref="A94:A95"/>
    <mergeCell ref="A99:A100"/>
    <mergeCell ref="A106:A110"/>
    <mergeCell ref="B2:B3"/>
    <mergeCell ref="B4:B6"/>
    <mergeCell ref="B8:B12"/>
    <mergeCell ref="B18:B19"/>
    <mergeCell ref="B29:B30"/>
    <mergeCell ref="B32:B38"/>
    <mergeCell ref="B44:B47"/>
    <mergeCell ref="B51:B52"/>
    <mergeCell ref="B54:B55"/>
    <mergeCell ref="B59:B60"/>
    <mergeCell ref="B62:B64"/>
    <mergeCell ref="B66:B67"/>
    <mergeCell ref="B71:B72"/>
    <mergeCell ref="B74:B75"/>
    <mergeCell ref="B87:B88"/>
    <mergeCell ref="B90:B92"/>
    <mergeCell ref="B94:B95"/>
    <mergeCell ref="B99:B100"/>
    <mergeCell ref="B106:B110"/>
    <mergeCell ref="C2:C3"/>
    <mergeCell ref="C4:C6"/>
    <mergeCell ref="C8:C12"/>
    <mergeCell ref="C18:C19"/>
    <mergeCell ref="C29:C30"/>
    <mergeCell ref="C32:C38"/>
    <mergeCell ref="C44:C47"/>
    <mergeCell ref="C51:C52"/>
    <mergeCell ref="C54:C55"/>
    <mergeCell ref="C59:C60"/>
    <mergeCell ref="C62:C64"/>
    <mergeCell ref="C66:C67"/>
    <mergeCell ref="C71:C72"/>
    <mergeCell ref="C74:C75"/>
    <mergeCell ref="C87:C88"/>
    <mergeCell ref="C90:C92"/>
    <mergeCell ref="C94:C95"/>
    <mergeCell ref="C99:C100"/>
    <mergeCell ref="C106:C110"/>
    <mergeCell ref="D2:D3"/>
    <mergeCell ref="D8:D12"/>
    <mergeCell ref="D18:D19"/>
    <mergeCell ref="D29:D30"/>
    <mergeCell ref="D32:D38"/>
    <mergeCell ref="D51:D52"/>
    <mergeCell ref="D54:D55"/>
    <mergeCell ref="D66:D67"/>
    <mergeCell ref="D74:D75"/>
    <mergeCell ref="D87:D88"/>
    <mergeCell ref="D106:D110"/>
    <mergeCell ref="E2:E3"/>
    <mergeCell ref="E8:E12"/>
    <mergeCell ref="E18:E19"/>
    <mergeCell ref="E29:E30"/>
    <mergeCell ref="E32:E38"/>
    <mergeCell ref="E51:E52"/>
    <mergeCell ref="E54:E55"/>
    <mergeCell ref="E59:E60"/>
    <mergeCell ref="E66:E67"/>
    <mergeCell ref="E71:E72"/>
    <mergeCell ref="E74:E75"/>
    <mergeCell ref="E87:E88"/>
    <mergeCell ref="E106:E110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东东菜</cp:lastModifiedBy>
  <dcterms:created xsi:type="dcterms:W3CDTF">2023-05-12T11:15:00Z</dcterms:created>
  <dcterms:modified xsi:type="dcterms:W3CDTF">2026-05-14T08:05:18Z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C9A33B23383841BBB0A9E21D7579653F_12</vt:lpwstr>
  </property>
  <property fmtid="{D5CDD505-2E9C-101B-9397-08002B2CF9AE}" pid="4" name="CalculationRule">
    <vt:i4>0</vt:i4>
  </property>
</Properties>
</file>